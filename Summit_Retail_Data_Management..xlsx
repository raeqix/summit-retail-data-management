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quawn/Desktop/"/>
    </mc:Choice>
  </mc:AlternateContent>
  <xr:revisionPtr revIDLastSave="0" documentId="13_ncr:1_{112A6C6D-EE81-8243-A63C-9ECA5CEFB4CE}" xr6:coauthVersionLast="47" xr6:coauthVersionMax="47" xr10:uidLastSave="{00000000-0000-0000-0000-000000000000}"/>
  <bookViews>
    <workbookView xWindow="0" yWindow="600" windowWidth="28800" windowHeight="17400" activeTab="1" xr2:uid="{BC72B232-52A8-7045-B327-47E456EB33A3}"/>
  </bookViews>
  <sheets>
    <sheet name="Raw Data" sheetId="1" r:id="rId1"/>
    <sheet name="Cleaned Data" sheetId="2" r:id="rId2"/>
    <sheet name="Data Validation" sheetId="3" r:id="rId3"/>
    <sheet name="Audit Summary" sheetId="4" r:id="rId4"/>
  </sheets>
  <definedNames>
    <definedName name="_xlnm._FilterDatabase" localSheetId="1" hidden="1">'Cleaned Data'!$L$8:$L$9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4" i="3"/>
  <c r="B5" i="3"/>
  <c r="J141" i="2"/>
  <c r="B11" i="4"/>
  <c r="B8" i="4"/>
  <c r="B3" i="4"/>
  <c r="I51" i="2"/>
  <c r="I107" i="2"/>
  <c r="I96" i="2"/>
  <c r="I102" i="2"/>
  <c r="I27" i="2"/>
  <c r="I123" i="2"/>
  <c r="I53" i="2"/>
  <c r="I20" i="2"/>
  <c r="I91" i="2"/>
  <c r="I34" i="2"/>
  <c r="I76" i="2"/>
  <c r="I134" i="2"/>
  <c r="I128" i="2"/>
  <c r="I55" i="2"/>
  <c r="I43" i="2"/>
  <c r="I120" i="2"/>
  <c r="I28" i="2"/>
  <c r="I86" i="2"/>
  <c r="I23" i="2"/>
  <c r="I26" i="2"/>
  <c r="I118" i="2"/>
  <c r="I21" i="2"/>
  <c r="I103" i="2"/>
  <c r="I89" i="2"/>
  <c r="I63" i="2"/>
  <c r="I29" i="2"/>
  <c r="I111" i="2"/>
  <c r="I140" i="2"/>
  <c r="I2" i="2"/>
  <c r="I49" i="2"/>
  <c r="I7" i="2"/>
  <c r="I10" i="2"/>
  <c r="I56" i="2"/>
  <c r="I61" i="2"/>
  <c r="I95" i="2"/>
  <c r="I104" i="2"/>
  <c r="I105" i="2"/>
  <c r="I131" i="2"/>
  <c r="I125" i="2"/>
  <c r="I73" i="2"/>
  <c r="I139" i="2"/>
  <c r="I112" i="2"/>
  <c r="I31" i="2"/>
  <c r="I59" i="2"/>
  <c r="I110" i="2"/>
  <c r="I137" i="2"/>
  <c r="I46" i="2"/>
  <c r="I33" i="2"/>
  <c r="I37" i="2"/>
  <c r="I39" i="2"/>
  <c r="I80" i="2"/>
  <c r="I11" i="2"/>
  <c r="I135" i="2"/>
  <c r="I106" i="2"/>
  <c r="I8" i="2"/>
  <c r="I12" i="2"/>
  <c r="I67" i="2"/>
  <c r="I32" i="2"/>
  <c r="I92" i="2"/>
  <c r="I65" i="2"/>
  <c r="I99" i="2"/>
  <c r="I47" i="2"/>
  <c r="I124" i="2"/>
  <c r="I14" i="2"/>
  <c r="I30" i="2"/>
  <c r="I52" i="2"/>
  <c r="I71" i="2"/>
  <c r="I115" i="2"/>
  <c r="I68" i="2"/>
  <c r="I40" i="2"/>
  <c r="I6" i="2"/>
  <c r="I136" i="2"/>
  <c r="I87" i="2"/>
  <c r="I44" i="2"/>
  <c r="I19" i="2"/>
  <c r="I138" i="2"/>
  <c r="I109" i="2"/>
  <c r="I79" i="2"/>
  <c r="I122" i="2"/>
  <c r="I126" i="2"/>
  <c r="I93" i="2"/>
  <c r="I15" i="2"/>
  <c r="I69" i="2"/>
  <c r="I100" i="2"/>
  <c r="I77" i="2"/>
  <c r="I57" i="2"/>
  <c r="I50" i="2"/>
  <c r="I45" i="2"/>
  <c r="I13" i="2"/>
  <c r="I42" i="2"/>
  <c r="I72" i="2"/>
  <c r="I41" i="2"/>
  <c r="I74" i="2"/>
  <c r="I114" i="2"/>
  <c r="I81" i="2"/>
  <c r="I141" i="2"/>
  <c r="I133" i="2"/>
  <c r="I119" i="2"/>
  <c r="I108" i="2"/>
  <c r="I9" i="2"/>
  <c r="I116" i="2"/>
  <c r="I54" i="2"/>
  <c r="I85" i="2"/>
  <c r="I101" i="2"/>
  <c r="I129" i="2"/>
  <c r="I60" i="2"/>
  <c r="I82" i="2"/>
  <c r="I75" i="2"/>
  <c r="I22" i="2"/>
  <c r="I66" i="2"/>
  <c r="I36" i="2"/>
  <c r="I117" i="2"/>
  <c r="I62" i="2"/>
  <c r="I16" i="2"/>
  <c r="I97" i="2"/>
  <c r="I64" i="2"/>
  <c r="I90" i="2"/>
  <c r="I94" i="2"/>
  <c r="I88" i="2"/>
  <c r="I4" i="2"/>
  <c r="I35" i="2"/>
  <c r="I132" i="2"/>
  <c r="I17" i="2"/>
  <c r="I38" i="2"/>
  <c r="I24" i="2"/>
  <c r="I78" i="2"/>
  <c r="I127" i="2"/>
  <c r="I130" i="2"/>
  <c r="I121" i="2"/>
  <c r="I25" i="2"/>
  <c r="I113" i="2"/>
  <c r="I84" i="2"/>
  <c r="I5" i="2"/>
  <c r="I70" i="2"/>
  <c r="I58" i="2"/>
  <c r="I83" i="2"/>
  <c r="I3" i="2"/>
  <c r="I18" i="2"/>
  <c r="I48" i="2"/>
  <c r="I98" i="2"/>
  <c r="B6" i="4"/>
  <c r="K51" i="2"/>
  <c r="K107" i="2"/>
  <c r="K96" i="2"/>
  <c r="K102" i="2"/>
  <c r="K27" i="2"/>
  <c r="K123" i="2"/>
  <c r="K53" i="2"/>
  <c r="K20" i="2"/>
  <c r="K91" i="2"/>
  <c r="K34" i="2"/>
  <c r="K76" i="2"/>
  <c r="K134" i="2"/>
  <c r="K128" i="2"/>
  <c r="K55" i="2"/>
  <c r="K43" i="2"/>
  <c r="K120" i="2"/>
  <c r="K28" i="2"/>
  <c r="K86" i="2"/>
  <c r="K23" i="2"/>
  <c r="K26" i="2"/>
  <c r="K118" i="2"/>
  <c r="K21" i="2"/>
  <c r="K103" i="2"/>
  <c r="K89" i="2"/>
  <c r="K63" i="2"/>
  <c r="K29" i="2"/>
  <c r="K111" i="2"/>
  <c r="K140" i="2"/>
  <c r="K2" i="2"/>
  <c r="K49" i="2"/>
  <c r="K7" i="2"/>
  <c r="K10" i="2"/>
  <c r="K56" i="2"/>
  <c r="K61" i="2"/>
  <c r="K95" i="2"/>
  <c r="K104" i="2"/>
  <c r="K105" i="2"/>
  <c r="K131" i="2"/>
  <c r="K125" i="2"/>
  <c r="K73" i="2"/>
  <c r="K139" i="2"/>
  <c r="K112" i="2"/>
  <c r="K31" i="2"/>
  <c r="K59" i="2"/>
  <c r="K110" i="2"/>
  <c r="K137" i="2"/>
  <c r="K46" i="2"/>
  <c r="K33" i="2"/>
  <c r="K37" i="2"/>
  <c r="K39" i="2"/>
  <c r="K80" i="2"/>
  <c r="K11" i="2"/>
  <c r="K135" i="2"/>
  <c r="K106" i="2"/>
  <c r="K8" i="2"/>
  <c r="K12" i="2"/>
  <c r="K67" i="2"/>
  <c r="K32" i="2"/>
  <c r="K92" i="2"/>
  <c r="K65" i="2"/>
  <c r="K99" i="2"/>
  <c r="K47" i="2"/>
  <c r="K124" i="2"/>
  <c r="K14" i="2"/>
  <c r="K30" i="2"/>
  <c r="K52" i="2"/>
  <c r="K71" i="2"/>
  <c r="K115" i="2"/>
  <c r="K68" i="2"/>
  <c r="K40" i="2"/>
  <c r="K6" i="2"/>
  <c r="K136" i="2"/>
  <c r="K87" i="2"/>
  <c r="K44" i="2"/>
  <c r="K19" i="2"/>
  <c r="K138" i="2"/>
  <c r="K109" i="2"/>
  <c r="K79" i="2"/>
  <c r="K122" i="2"/>
  <c r="K126" i="2"/>
  <c r="K93" i="2"/>
  <c r="K15" i="2"/>
  <c r="K69" i="2"/>
  <c r="K100" i="2"/>
  <c r="K77" i="2"/>
  <c r="K57" i="2"/>
  <c r="K50" i="2"/>
  <c r="K45" i="2"/>
  <c r="K13" i="2"/>
  <c r="K42" i="2"/>
  <c r="K72" i="2"/>
  <c r="K41" i="2"/>
  <c r="K74" i="2"/>
  <c r="K114" i="2"/>
  <c r="K81" i="2"/>
  <c r="K141" i="2"/>
  <c r="K133" i="2"/>
  <c r="K119" i="2"/>
  <c r="K108" i="2"/>
  <c r="K9" i="2"/>
  <c r="K116" i="2"/>
  <c r="K54" i="2"/>
  <c r="K85" i="2"/>
  <c r="K101" i="2"/>
  <c r="K129" i="2"/>
  <c r="K60" i="2"/>
  <c r="K82" i="2"/>
  <c r="K75" i="2"/>
  <c r="K22" i="2"/>
  <c r="K66" i="2"/>
  <c r="K36" i="2"/>
  <c r="K117" i="2"/>
  <c r="K62" i="2"/>
  <c r="K16" i="2"/>
  <c r="K97" i="2"/>
  <c r="K64" i="2"/>
  <c r="K90" i="2"/>
  <c r="K94" i="2"/>
  <c r="K88" i="2"/>
  <c r="K4" i="2"/>
  <c r="K35" i="2"/>
  <c r="K132" i="2"/>
  <c r="K17" i="2"/>
  <c r="K38" i="2"/>
  <c r="K24" i="2"/>
  <c r="K78" i="2"/>
  <c r="K127" i="2"/>
  <c r="K130" i="2"/>
  <c r="K121" i="2"/>
  <c r="K25" i="2"/>
  <c r="K113" i="2"/>
  <c r="K84" i="2"/>
  <c r="K5" i="2"/>
  <c r="K70" i="2"/>
  <c r="K58" i="2"/>
  <c r="K83" i="2"/>
  <c r="K3" i="2"/>
  <c r="K18" i="2"/>
  <c r="K48" i="2"/>
  <c r="K98" i="2"/>
  <c r="J51" i="2"/>
  <c r="J107" i="2"/>
  <c r="J96" i="2"/>
  <c r="J102" i="2"/>
  <c r="J27" i="2"/>
  <c r="J123" i="2"/>
  <c r="J53" i="2"/>
  <c r="J20" i="2"/>
  <c r="J91" i="2"/>
  <c r="J34" i="2"/>
  <c r="J76" i="2"/>
  <c r="J134" i="2"/>
  <c r="J128" i="2"/>
  <c r="J55" i="2"/>
  <c r="J43" i="2"/>
  <c r="J120" i="2"/>
  <c r="J28" i="2"/>
  <c r="J86" i="2"/>
  <c r="J23" i="2"/>
  <c r="J26" i="2"/>
  <c r="J118" i="2"/>
  <c r="J21" i="2"/>
  <c r="J103" i="2"/>
  <c r="J89" i="2"/>
  <c r="J63" i="2"/>
  <c r="J29" i="2"/>
  <c r="J111" i="2"/>
  <c r="J140" i="2"/>
  <c r="J2" i="2"/>
  <c r="J49" i="2"/>
  <c r="J7" i="2"/>
  <c r="J10" i="2"/>
  <c r="J56" i="2"/>
  <c r="J61" i="2"/>
  <c r="J95" i="2"/>
  <c r="J104" i="2"/>
  <c r="J105" i="2"/>
  <c r="J131" i="2"/>
  <c r="J125" i="2"/>
  <c r="J73" i="2"/>
  <c r="J139" i="2"/>
  <c r="J112" i="2"/>
  <c r="J31" i="2"/>
  <c r="J59" i="2"/>
  <c r="J110" i="2"/>
  <c r="J137" i="2"/>
  <c r="J46" i="2"/>
  <c r="J33" i="2"/>
  <c r="J37" i="2"/>
  <c r="J39" i="2"/>
  <c r="J80" i="2"/>
  <c r="J11" i="2"/>
  <c r="J135" i="2"/>
  <c r="J106" i="2"/>
  <c r="J8" i="2"/>
  <c r="J12" i="2"/>
  <c r="J67" i="2"/>
  <c r="J32" i="2"/>
  <c r="J92" i="2"/>
  <c r="J65" i="2"/>
  <c r="J99" i="2"/>
  <c r="J47" i="2"/>
  <c r="J124" i="2"/>
  <c r="J14" i="2"/>
  <c r="J30" i="2"/>
  <c r="J52" i="2"/>
  <c r="J71" i="2"/>
  <c r="J115" i="2"/>
  <c r="J68" i="2"/>
  <c r="J40" i="2"/>
  <c r="J6" i="2"/>
  <c r="J136" i="2"/>
  <c r="J87" i="2"/>
  <c r="J44" i="2"/>
  <c r="J19" i="2"/>
  <c r="J138" i="2"/>
  <c r="J109" i="2"/>
  <c r="J79" i="2"/>
  <c r="J122" i="2"/>
  <c r="J126" i="2"/>
  <c r="J93" i="2"/>
  <c r="J15" i="2"/>
  <c r="J69" i="2"/>
  <c r="J100" i="2"/>
  <c r="J77" i="2"/>
  <c r="J57" i="2"/>
  <c r="J50" i="2"/>
  <c r="J45" i="2"/>
  <c r="J13" i="2"/>
  <c r="J42" i="2"/>
  <c r="J72" i="2"/>
  <c r="J41" i="2"/>
  <c r="J74" i="2"/>
  <c r="J114" i="2"/>
  <c r="J81" i="2"/>
  <c r="J133" i="2"/>
  <c r="J119" i="2"/>
  <c r="J108" i="2"/>
  <c r="J9" i="2"/>
  <c r="J116" i="2"/>
  <c r="J54" i="2"/>
  <c r="J85" i="2"/>
  <c r="J101" i="2"/>
  <c r="J129" i="2"/>
  <c r="J60" i="2"/>
  <c r="J82" i="2"/>
  <c r="J75" i="2"/>
  <c r="J22" i="2"/>
  <c r="J66" i="2"/>
  <c r="J36" i="2"/>
  <c r="J117" i="2"/>
  <c r="J62" i="2"/>
  <c r="J16" i="2"/>
  <c r="J97" i="2"/>
  <c r="J64" i="2"/>
  <c r="J90" i="2"/>
  <c r="J94" i="2"/>
  <c r="J88" i="2"/>
  <c r="J4" i="2"/>
  <c r="J35" i="2"/>
  <c r="J132" i="2"/>
  <c r="J17" i="2"/>
  <c r="J38" i="2"/>
  <c r="J24" i="2"/>
  <c r="J78" i="2"/>
  <c r="J127" i="2"/>
  <c r="J130" i="2"/>
  <c r="J121" i="2"/>
  <c r="J25" i="2"/>
  <c r="J113" i="2"/>
  <c r="J84" i="2"/>
  <c r="J5" i="2"/>
  <c r="J70" i="2"/>
  <c r="J58" i="2"/>
  <c r="J83" i="2"/>
  <c r="J3" i="2"/>
  <c r="J18" i="2"/>
  <c r="J48" i="2"/>
  <c r="J98" i="2"/>
  <c r="B15" i="4" l="1"/>
  <c r="B14" i="4"/>
  <c r="B17" i="4"/>
  <c r="B8" i="3"/>
  <c r="B4" i="4"/>
</calcChain>
</file>

<file path=xl/sharedStrings.xml><?xml version="1.0" encoding="utf-8"?>
<sst xmlns="http://schemas.openxmlformats.org/spreadsheetml/2006/main" count="1917" uniqueCount="834">
  <si>
    <t>Customer ID</t>
  </si>
  <si>
    <t>Customer Name</t>
  </si>
  <si>
    <t>Email</t>
  </si>
  <si>
    <t>Phone</t>
  </si>
  <si>
    <t>City</t>
  </si>
  <si>
    <t>Order Date</t>
  </si>
  <si>
    <t>Order Amount</t>
  </si>
  <si>
    <t>Order Status</t>
  </si>
  <si>
    <t>C109</t>
  </si>
  <si>
    <t>Dakota Jackson</t>
  </si>
  <si>
    <t>dakota.jackson109@example.com</t>
  </si>
  <si>
    <t>4045551109</t>
  </si>
  <si>
    <t>Kennesaw</t>
  </si>
  <si>
    <t>04/21/2026</t>
  </si>
  <si>
    <t>Cancelled</t>
  </si>
  <si>
    <t>C055</t>
  </si>
  <si>
    <t>Casey Martin</t>
  </si>
  <si>
    <t>casey.martin55@example.com</t>
  </si>
  <si>
    <t>4045551055</t>
  </si>
  <si>
    <t>kennesaw</t>
  </si>
  <si>
    <t>07/18/2026</t>
  </si>
  <si>
    <t>Completed</t>
  </si>
  <si>
    <t>C028</t>
  </si>
  <si>
    <t>Kendall Moore</t>
  </si>
  <si>
    <t>kendall.moore28@example.com</t>
  </si>
  <si>
    <t>(404) 555-1028</t>
  </si>
  <si>
    <t>Smyrna</t>
  </si>
  <si>
    <t>06/28/2026</t>
  </si>
  <si>
    <t>Processing</t>
  </si>
  <si>
    <t>C004</t>
  </si>
  <si>
    <t>Sydney Wilson</t>
  </si>
  <si>
    <t>sydney.wilson4@example.com</t>
  </si>
  <si>
    <t>4045551004</t>
  </si>
  <si>
    <t>Atlanta</t>
  </si>
  <si>
    <t>07/09/2026</t>
  </si>
  <si>
    <t>C044</t>
  </si>
  <si>
    <t>Kendall White</t>
  </si>
  <si>
    <t>kendall.white44@example.com</t>
  </si>
  <si>
    <t>4045551044</t>
  </si>
  <si>
    <t>decatur</t>
  </si>
  <si>
    <t>03/13/2026</t>
  </si>
  <si>
    <t>C026</t>
  </si>
  <si>
    <t>ROBIN JACKSON</t>
  </si>
  <si>
    <t>robin.jackson26@example.com</t>
  </si>
  <si>
    <t>4045551026</t>
  </si>
  <si>
    <t>Marietta</t>
  </si>
  <si>
    <t>08/22/2026</t>
  </si>
  <si>
    <t>C076</t>
  </si>
  <si>
    <t>Robin White</t>
  </si>
  <si>
    <t>4045551076</t>
  </si>
  <si>
    <t>Decatur</t>
  </si>
  <si>
    <t>04/24/2026</t>
  </si>
  <si>
    <t>C086</t>
  </si>
  <si>
    <t>Robin Moore</t>
  </si>
  <si>
    <t>robin.moore86@example.com</t>
  </si>
  <si>
    <t>4045551086</t>
  </si>
  <si>
    <t>Roswell</t>
  </si>
  <si>
    <t>02/16/2026</t>
  </si>
  <si>
    <t>C016</t>
  </si>
  <si>
    <t>Quinn Thompson</t>
  </si>
  <si>
    <t>quinn.thompson16@example.com</t>
  </si>
  <si>
    <t>4045551016</t>
  </si>
  <si>
    <t>Douglasville</t>
  </si>
  <si>
    <t>Jun 23, 2026</t>
  </si>
  <si>
    <t>cancelled</t>
  </si>
  <si>
    <t>C125</t>
  </si>
  <si>
    <t>Reese Miller</t>
  </si>
  <si>
    <t>reese.miller125@example.com</t>
  </si>
  <si>
    <t>4045551125</t>
  </si>
  <si>
    <t>Sandy Springs</t>
  </si>
  <si>
    <t>03/28/2026</t>
  </si>
  <si>
    <t>C058</t>
  </si>
  <si>
    <t>Dakota Wilson</t>
  </si>
  <si>
    <t>dakota.wilson58@example.com</t>
  </si>
  <si>
    <t>4045551058</t>
  </si>
  <si>
    <t>05/22/2026</t>
  </si>
  <si>
    <t>C127</t>
  </si>
  <si>
    <t>Blake Thompson</t>
  </si>
  <si>
    <t>blake.thompson127@example.com</t>
  </si>
  <si>
    <t>4045551127</t>
  </si>
  <si>
    <t>09/14/2026</t>
  </si>
  <si>
    <t>C036</t>
  </si>
  <si>
    <t>Alex White</t>
  </si>
  <si>
    <t>alex.white36@example.com</t>
  </si>
  <si>
    <t>404-555-1036</t>
  </si>
  <si>
    <t>2026-09-05</t>
  </si>
  <si>
    <t>C073</t>
  </si>
  <si>
    <t>Parker Taylor</t>
  </si>
  <si>
    <t>parker.taylor73@example.com</t>
  </si>
  <si>
    <t>4045551073</t>
  </si>
  <si>
    <t>04/25/2026</t>
  </si>
  <si>
    <t>Pending</t>
  </si>
  <si>
    <t>C005</t>
  </si>
  <si>
    <t>Drew Wilson</t>
  </si>
  <si>
    <t>drew.wilson5@example.com</t>
  </si>
  <si>
    <t>4045551005</t>
  </si>
  <si>
    <t>04/12/2026</t>
  </si>
  <si>
    <t>C031</t>
  </si>
  <si>
    <t>Morgan Harris</t>
  </si>
  <si>
    <t>morgan.harris31@example.com</t>
  </si>
  <si>
    <t>4045551031</t>
  </si>
  <si>
    <t>08/13/2026</t>
  </si>
  <si>
    <t>C079</t>
  </si>
  <si>
    <t>Reese Anderson</t>
  </si>
  <si>
    <t>reese.anderson79@example.com</t>
  </si>
  <si>
    <t>4045551079</t>
  </si>
  <si>
    <t>03/15/2026</t>
  </si>
  <si>
    <t>C068</t>
  </si>
  <si>
    <t>Morgan Davis</t>
  </si>
  <si>
    <t>morgan.davis68@example.com</t>
  </si>
  <si>
    <t>4045551068</t>
  </si>
  <si>
    <t>06/19/2026</t>
  </si>
  <si>
    <t>C041</t>
  </si>
  <si>
    <t>Kendall Johnson</t>
  </si>
  <si>
    <t>kendall.johnson41@example.com</t>
  </si>
  <si>
    <t>4045551041</t>
  </si>
  <si>
    <t>03/01/2026</t>
  </si>
  <si>
    <t>C062</t>
  </si>
  <si>
    <t>Quinn Harris</t>
  </si>
  <si>
    <t>quinn.harris62@example.com</t>
  </si>
  <si>
    <t>4045551062</t>
  </si>
  <si>
    <t>03/11/2026</t>
  </si>
  <si>
    <t>C126</t>
  </si>
  <si>
    <t>Riley Taylor</t>
  </si>
  <si>
    <t>riley.taylor126@example.com</t>
  </si>
  <si>
    <t>(404) 555-1126</t>
  </si>
  <si>
    <t>2026-08-07</t>
  </si>
  <si>
    <t>PENDING</t>
  </si>
  <si>
    <t>C027</t>
  </si>
  <si>
    <t>Blake Johnson</t>
  </si>
  <si>
    <t>blake.johnson27@example.com</t>
  </si>
  <si>
    <t>404-555-1027</t>
  </si>
  <si>
    <t>2026-02-18</t>
  </si>
  <si>
    <t>C100</t>
  </si>
  <si>
    <t>Alex Jackson</t>
  </si>
  <si>
    <t>alex.jackson100@example.com</t>
  </si>
  <si>
    <t>4045551100</t>
  </si>
  <si>
    <t>C128</t>
  </si>
  <si>
    <t>Sydney Brown</t>
  </si>
  <si>
    <t>sydney.brown128@example.com</t>
  </si>
  <si>
    <t>4045551128</t>
  </si>
  <si>
    <t>Jun 21, 2026</t>
  </si>
  <si>
    <t>processing</t>
  </si>
  <si>
    <t>C091</t>
  </si>
  <si>
    <t>AVERY THOMAS</t>
  </si>
  <si>
    <t>avery.thomas91@example.com</t>
  </si>
  <si>
    <t>(404) 555-1091</t>
  </si>
  <si>
    <t>05/11/2026</t>
  </si>
  <si>
    <t>C053</t>
  </si>
  <si>
    <t>Reese Martin</t>
  </si>
  <si>
    <t>reese.martin53@example.com</t>
  </si>
  <si>
    <t>4045551053</t>
  </si>
  <si>
    <t>C107</t>
  </si>
  <si>
    <t>Avery Moore</t>
  </si>
  <si>
    <t>avery.moore107@example.com</t>
  </si>
  <si>
    <t>4045551107</t>
  </si>
  <si>
    <t>07/25/2026</t>
  </si>
  <si>
    <t>C040</t>
  </si>
  <si>
    <t>Parker Davis</t>
  </si>
  <si>
    <t>parker.davis40@example.com</t>
  </si>
  <si>
    <t>4045551040</t>
  </si>
  <si>
    <t>09/26/2026</t>
  </si>
  <si>
    <t>C051</t>
  </si>
  <si>
    <t>Morgan Brown</t>
  </si>
  <si>
    <t>morgan.brown51@example.com</t>
  </si>
  <si>
    <t>4045551051</t>
  </si>
  <si>
    <t>2026-01-05</t>
  </si>
  <si>
    <t>C061</t>
  </si>
  <si>
    <t>Alex Davis</t>
  </si>
  <si>
    <t>alex.davis61@example.com</t>
  </si>
  <si>
    <t>4045551061</t>
  </si>
  <si>
    <t>04/19/2026</t>
  </si>
  <si>
    <t>C120</t>
  </si>
  <si>
    <t>blake.thompson120@example.com</t>
  </si>
  <si>
    <t>4045551120</t>
  </si>
  <si>
    <t>2026-01-21</t>
  </si>
  <si>
    <t>completed</t>
  </si>
  <si>
    <t>C017</t>
  </si>
  <si>
    <t>Dakota Brown</t>
  </si>
  <si>
    <t>dakota.brown17@example.com</t>
  </si>
  <si>
    <t>4045551017</t>
  </si>
  <si>
    <t>01/28/2026</t>
  </si>
  <si>
    <t>C119</t>
  </si>
  <si>
    <t>Jamie Harris</t>
  </si>
  <si>
    <t>jamie.harris119@example.com</t>
  </si>
  <si>
    <t>(404) 555-1119</t>
  </si>
  <si>
    <t>C046</t>
  </si>
  <si>
    <t>Jordan Thompson</t>
  </si>
  <si>
    <t>jordan.thompson46@example.com</t>
  </si>
  <si>
    <t>4045551046</t>
  </si>
  <si>
    <t>ATL</t>
  </si>
  <si>
    <t>05/07/2026</t>
  </si>
  <si>
    <t>C083</t>
  </si>
  <si>
    <t>Parker Thomas</t>
  </si>
  <si>
    <t>parker.thomas83@example.com</t>
  </si>
  <si>
    <t>4045551083</t>
  </si>
  <si>
    <t>06/27/2026</t>
  </si>
  <si>
    <t>C123</t>
  </si>
  <si>
    <t>Quinn Davis</t>
  </si>
  <si>
    <t>quinn.davis123@example.com</t>
  </si>
  <si>
    <t>4045551123</t>
  </si>
  <si>
    <t>2026-07-10</t>
  </si>
  <si>
    <t>C050</t>
  </si>
  <si>
    <t>Casey Anderson</t>
  </si>
  <si>
    <t>casey.anderson50@example.com</t>
  </si>
  <si>
    <t>4045551050</t>
  </si>
  <si>
    <t>07/14/2026</t>
  </si>
  <si>
    <t>C139</t>
  </si>
  <si>
    <t>Cameron Johnson</t>
  </si>
  <si>
    <t>cameron.johnson139@example.com</t>
  </si>
  <si>
    <t>4045551139</t>
  </si>
  <si>
    <t>09/09/2026</t>
  </si>
  <si>
    <t>C096</t>
  </si>
  <si>
    <t>reese.martin96@example.com</t>
  </si>
  <si>
    <t>4045551096</t>
  </si>
  <si>
    <t>Aug 23, 2026</t>
  </si>
  <si>
    <t>C112</t>
  </si>
  <si>
    <t>Reese Harris</t>
  </si>
  <si>
    <t>reese.harris112@example.com</t>
  </si>
  <si>
    <t>(404) 555-1112</t>
  </si>
  <si>
    <t>May 21, 2026</t>
  </si>
  <si>
    <t>C038</t>
  </si>
  <si>
    <t>4045551038</t>
  </si>
  <si>
    <t>09/25/2026</t>
  </si>
  <si>
    <t>C082</t>
  </si>
  <si>
    <t>quinn.harris82@example.com</t>
  </si>
  <si>
    <t>4045551082</t>
  </si>
  <si>
    <t>07/27/2026</t>
  </si>
  <si>
    <t>C118</t>
  </si>
  <si>
    <t>Alex Thompson</t>
  </si>
  <si>
    <t>alex.thompson118@example.com</t>
  </si>
  <si>
    <t>4045551118</t>
  </si>
  <si>
    <t>03/18/2026</t>
  </si>
  <si>
    <t>C080</t>
  </si>
  <si>
    <t>Taylor Davis</t>
  </si>
  <si>
    <t>taylor.davis80@example.com</t>
  </si>
  <si>
    <t>4045551080</t>
  </si>
  <si>
    <t>May 04, 2026</t>
  </si>
  <si>
    <t>C042</t>
  </si>
  <si>
    <t>Kendall Taylor</t>
  </si>
  <si>
    <t>kendall.taylor42@example.com</t>
  </si>
  <si>
    <t>(404) 555-1042</t>
  </si>
  <si>
    <t>2026-07-24</t>
  </si>
  <si>
    <t>COMPLETED</t>
  </si>
  <si>
    <t>C066</t>
  </si>
  <si>
    <t>Jordan Harris</t>
  </si>
  <si>
    <t>jordan.harris66@example.com</t>
  </si>
  <si>
    <t>4045551066</t>
  </si>
  <si>
    <t>douglasville</t>
  </si>
  <si>
    <t>2026-09-24</t>
  </si>
  <si>
    <t>C049</t>
  </si>
  <si>
    <t>kendall.white49@example.com</t>
  </si>
  <si>
    <t>(404) 555-1049</t>
  </si>
  <si>
    <t>04/16/2026</t>
  </si>
  <si>
    <t>C070</t>
  </si>
  <si>
    <t>Riley Jackson</t>
  </si>
  <si>
    <t>riley.jackson70@example.com</t>
  </si>
  <si>
    <t>(404) 555-1070</t>
  </si>
  <si>
    <t>03/26/2026</t>
  </si>
  <si>
    <t>C009</t>
  </si>
  <si>
    <t>Robin Martin</t>
  </si>
  <si>
    <t>robin.martin9@example.com</t>
  </si>
  <si>
    <t>404-555-1009</t>
  </si>
  <si>
    <t>2026-04-04</t>
  </si>
  <si>
    <t>C069</t>
  </si>
  <si>
    <t>casey.anderson69@example.com</t>
  </si>
  <si>
    <t>4045551069</t>
  </si>
  <si>
    <t>2026-04-05</t>
  </si>
  <si>
    <t>C072</t>
  </si>
  <si>
    <t>Drew Thompson</t>
  </si>
  <si>
    <t>drew.thompson72@example.com</t>
  </si>
  <si>
    <t>404-555-1072</t>
  </si>
  <si>
    <t>2026-05-25</t>
  </si>
  <si>
    <t>C106</t>
  </si>
  <si>
    <t>Jordan Davis</t>
  </si>
  <si>
    <t>jordan.davis106@example.com</t>
  </si>
  <si>
    <t>4045551106</t>
  </si>
  <si>
    <t>02/03/2026</t>
  </si>
  <si>
    <t>C056</t>
  </si>
  <si>
    <t>Reese White</t>
  </si>
  <si>
    <t>reese.white56@example.com</t>
  </si>
  <si>
    <t>(404) 555-1056</t>
  </si>
  <si>
    <t>09/18/2026</t>
  </si>
  <si>
    <t>C134</t>
  </si>
  <si>
    <t>Jamie Anderson</t>
  </si>
  <si>
    <t>jamie.anderson134@example.com</t>
  </si>
  <si>
    <t>4045551134</t>
  </si>
  <si>
    <t>07/16/2026</t>
  </si>
  <si>
    <t>C067</t>
  </si>
  <si>
    <t>riley.taylor67@example.com</t>
  </si>
  <si>
    <t>4045551067</t>
  </si>
  <si>
    <t>01/21/2026</t>
  </si>
  <si>
    <t>C103</t>
  </si>
  <si>
    <t>Quinn Wilson</t>
  </si>
  <si>
    <t>quinn.wilson103@example.com</t>
  </si>
  <si>
    <t>4045551103</t>
  </si>
  <si>
    <t>02/08/2026</t>
  </si>
  <si>
    <t>C029</t>
  </si>
  <si>
    <t>Reese Johnson</t>
  </si>
  <si>
    <t>reese.johnson29@example.com</t>
  </si>
  <si>
    <t>4045551029</t>
  </si>
  <si>
    <t>05/17/2026</t>
  </si>
  <si>
    <t>C108</t>
  </si>
  <si>
    <t>Alex Williams</t>
  </si>
  <si>
    <t>alex.williams108@example.com</t>
  </si>
  <si>
    <t>404-555-1108</t>
  </si>
  <si>
    <t>2026-03-24</t>
  </si>
  <si>
    <t>C001</t>
  </si>
  <si>
    <t>morgan.harris1@example.com</t>
  </si>
  <si>
    <t>4045551001</t>
  </si>
  <si>
    <t>06/23/2026</t>
  </si>
  <si>
    <t>C060</t>
  </si>
  <si>
    <t>Reese Jackson</t>
  </si>
  <si>
    <t>reese.jackson60@example.com</t>
  </si>
  <si>
    <t>4045551060</t>
  </si>
  <si>
    <t>2026-05-15</t>
  </si>
  <si>
    <t>C065</t>
  </si>
  <si>
    <t>SYDNEY THOMPSON</t>
  </si>
  <si>
    <t>sydney.thompson65@example.com</t>
  </si>
  <si>
    <t>4045551065</t>
  </si>
  <si>
    <t>07/03/2026</t>
  </si>
  <si>
    <t>C030</t>
  </si>
  <si>
    <t>Cameron Anderson</t>
  </si>
  <si>
    <t>cameron.anderson30@example.com</t>
  </si>
  <si>
    <t>4045551030</t>
  </si>
  <si>
    <t>2026-04-17</t>
  </si>
  <si>
    <t>C105</t>
  </si>
  <si>
    <t>Blake Harris</t>
  </si>
  <si>
    <t>blake.harris105@example.com</t>
  </si>
  <si>
    <t>(404) 555-1105</t>
  </si>
  <si>
    <t>2026-08-22</t>
  </si>
  <si>
    <t>PROCESSING</t>
  </si>
  <si>
    <t>C116</t>
  </si>
  <si>
    <t>Kendall Williams</t>
  </si>
  <si>
    <t>kendall.williams116@example.com</t>
  </si>
  <si>
    <t>4045551116</t>
  </si>
  <si>
    <t>02/10/2026</t>
  </si>
  <si>
    <t>C006</t>
  </si>
  <si>
    <t>Cameron Moore</t>
  </si>
  <si>
    <t>cameron.moore6@example.com</t>
  </si>
  <si>
    <t>4045551006</t>
  </si>
  <si>
    <t>2026-03-15</t>
  </si>
  <si>
    <t>C092</t>
  </si>
  <si>
    <t>Parker Jackson</t>
  </si>
  <si>
    <t>parker.jackson92@example.com</t>
  </si>
  <si>
    <t>4045551092</t>
  </si>
  <si>
    <t>C047</t>
  </si>
  <si>
    <t>Jamie Thomas</t>
  </si>
  <si>
    <t>jamie.thomas47@example.com</t>
  </si>
  <si>
    <t>4045551047</t>
  </si>
  <si>
    <t>05/18/2026</t>
  </si>
  <si>
    <t>C075</t>
  </si>
  <si>
    <t>Dakota Miller</t>
  </si>
  <si>
    <t>dakota.miller75@example.com</t>
  </si>
  <si>
    <t>4045551075</t>
  </si>
  <si>
    <t>2026-08-03</t>
  </si>
  <si>
    <t>C130</t>
  </si>
  <si>
    <t>ROBIN WILLIAMS</t>
  </si>
  <si>
    <t>robin.williams130@example.com</t>
  </si>
  <si>
    <t>4045551130</t>
  </si>
  <si>
    <t>C114</t>
  </si>
  <si>
    <t>Kendall Martin</t>
  </si>
  <si>
    <t>4045551114</t>
  </si>
  <si>
    <t>2026-04-06</t>
  </si>
  <si>
    <t>C136</t>
  </si>
  <si>
    <t>Devin Johnson</t>
  </si>
  <si>
    <t>devin.johnson136@example.com</t>
  </si>
  <si>
    <t>4045551136</t>
  </si>
  <si>
    <t>01/20/2026</t>
  </si>
  <si>
    <t>pending</t>
  </si>
  <si>
    <t>C140</t>
  </si>
  <si>
    <t>alex.williams140@example.com</t>
  </si>
  <si>
    <t>(404) 555-1140</t>
  </si>
  <si>
    <t>09/20/2026</t>
  </si>
  <si>
    <t>C088</t>
  </si>
  <si>
    <t>Cameron Harris</t>
  </si>
  <si>
    <t>cameron.harris88@example.com</t>
  </si>
  <si>
    <t>4045551088</t>
  </si>
  <si>
    <t>atlanta</t>
  </si>
  <si>
    <t>C095</t>
  </si>
  <si>
    <t>Riley Martin</t>
  </si>
  <si>
    <t>4045551095</t>
  </si>
  <si>
    <t>04/13/2026</t>
  </si>
  <si>
    <t>C035</t>
  </si>
  <si>
    <t>Sydney White</t>
  </si>
  <si>
    <t>sydney.white35@example.com</t>
  </si>
  <si>
    <t>(404) 555-1035</t>
  </si>
  <si>
    <t>02/15/2026</t>
  </si>
  <si>
    <t>C033</t>
  </si>
  <si>
    <t>Parker Thompson</t>
  </si>
  <si>
    <t>parker.thompson33@example.com</t>
  </si>
  <si>
    <t>4045551033</t>
  </si>
  <si>
    <t>roswell</t>
  </si>
  <si>
    <t>C115</t>
  </si>
  <si>
    <t>cameron.moore115@example.com</t>
  </si>
  <si>
    <t>4045551115</t>
  </si>
  <si>
    <t>07/22/2026</t>
  </si>
  <si>
    <t>C011</t>
  </si>
  <si>
    <t>Taylor Johnson</t>
  </si>
  <si>
    <t>taylor.johnson11@example.com</t>
  </si>
  <si>
    <t>4045551011</t>
  </si>
  <si>
    <t>smyrna</t>
  </si>
  <si>
    <t>05/23/2026</t>
  </si>
  <si>
    <t>C121</t>
  </si>
  <si>
    <t>Blake Jackson</t>
  </si>
  <si>
    <t>blake.jackson121@example.com</t>
  </si>
  <si>
    <t>4045551121</t>
  </si>
  <si>
    <t>sandy springs</t>
  </si>
  <si>
    <t>08/19/2026</t>
  </si>
  <si>
    <t>C094</t>
  </si>
  <si>
    <t>Devin White</t>
  </si>
  <si>
    <t>devin.white94@example.com</t>
  </si>
  <si>
    <t>4045551094</t>
  </si>
  <si>
    <t>08/24/2026</t>
  </si>
  <si>
    <t>C020</t>
  </si>
  <si>
    <t>Blake Williams</t>
  </si>
  <si>
    <t>blake.williams20@example.com</t>
  </si>
  <si>
    <t>4045551020</t>
  </si>
  <si>
    <t>06/24/2026</t>
  </si>
  <si>
    <t>C032</t>
  </si>
  <si>
    <t>Reese Taylor</t>
  </si>
  <si>
    <t>reese.taylor32@example.com</t>
  </si>
  <si>
    <t>4045551032</t>
  </si>
  <si>
    <t>Feb 10, 2026</t>
  </si>
  <si>
    <t>C099</t>
  </si>
  <si>
    <t>Kendall Davis</t>
  </si>
  <si>
    <t>kendall.davis99@example.com</t>
  </si>
  <si>
    <t>404-555-1099</t>
  </si>
  <si>
    <t>2026-05-17</t>
  </si>
  <si>
    <t>C064</t>
  </si>
  <si>
    <t>Reese Moore</t>
  </si>
  <si>
    <t>reese.moore64@example.com</t>
  </si>
  <si>
    <t>4045551064</t>
  </si>
  <si>
    <t>Jul 06, 2026</t>
  </si>
  <si>
    <t>C101</t>
  </si>
  <si>
    <t>reese.miller101@example.com</t>
  </si>
  <si>
    <t>4045551101</t>
  </si>
  <si>
    <t>C024</t>
  </si>
  <si>
    <t>Morgan Martin</t>
  </si>
  <si>
    <t>morgan.martin24@example.com</t>
  </si>
  <si>
    <t>4045551024</t>
  </si>
  <si>
    <t>2026-04-27</t>
  </si>
  <si>
    <t>C013</t>
  </si>
  <si>
    <t>TAYLOR JACKSON</t>
  </si>
  <si>
    <t>taylor.jackson13@example.com</t>
  </si>
  <si>
    <t>4045551013</t>
  </si>
  <si>
    <t>C137</t>
  </si>
  <si>
    <t>reese.moore137@example.com</t>
  </si>
  <si>
    <t>4045551137</t>
  </si>
  <si>
    <t>04/15/2026</t>
  </si>
  <si>
    <t>C081</t>
  </si>
  <si>
    <t>Morgan Williams</t>
  </si>
  <si>
    <t>morgan.williams81@example.com</t>
  </si>
  <si>
    <t>404-555-1081</t>
  </si>
  <si>
    <t>2026-02-08</t>
  </si>
  <si>
    <t>C023</t>
  </si>
  <si>
    <t>Sydney Davis</t>
  </si>
  <si>
    <t>sydney.davis23@example.com</t>
  </si>
  <si>
    <t>4045551023</t>
  </si>
  <si>
    <t>04/09/2026</t>
  </si>
  <si>
    <t>C054</t>
  </si>
  <si>
    <t>quinn.wilson54@example.com</t>
  </si>
  <si>
    <t>404-555-1054</t>
  </si>
  <si>
    <t>2026-05-19</t>
  </si>
  <si>
    <t>C078</t>
  </si>
  <si>
    <t>DREW ANDERSON</t>
  </si>
  <si>
    <t>drew.anderson78@example.com</t>
  </si>
  <si>
    <t>4045551078</t>
  </si>
  <si>
    <t>C043</t>
  </si>
  <si>
    <t>morgan.brown43@example.com</t>
  </si>
  <si>
    <t>4045551043</t>
  </si>
  <si>
    <t>05/21/2026</t>
  </si>
  <si>
    <t>C008</t>
  </si>
  <si>
    <t>Cameron Williams</t>
  </si>
  <si>
    <t>cameron.williams8@example.com</t>
  </si>
  <si>
    <t>4045551008</t>
  </si>
  <si>
    <t>08/02/2026</t>
  </si>
  <si>
    <t>C034</t>
  </si>
  <si>
    <t>reese.jackson34@example.com</t>
  </si>
  <si>
    <t>4045551034</t>
  </si>
  <si>
    <t>05/25/2026</t>
  </si>
  <si>
    <t>C039</t>
  </si>
  <si>
    <t>DAKOTA JACKSON</t>
  </si>
  <si>
    <t>dakota.jackson39@example.com</t>
  </si>
  <si>
    <t>4045551039</t>
  </si>
  <si>
    <t>2026-09-28</t>
  </si>
  <si>
    <t>C025</t>
  </si>
  <si>
    <t>Alex Wilson</t>
  </si>
  <si>
    <t>alex.wilson25@example.com</t>
  </si>
  <si>
    <t>4045551025</t>
  </si>
  <si>
    <t>09/11/2026</t>
  </si>
  <si>
    <t>C132</t>
  </si>
  <si>
    <t>Casey Williams</t>
  </si>
  <si>
    <t>casey.williams132@example.com</t>
  </si>
  <si>
    <t>4045551132</t>
  </si>
  <si>
    <t>marietta</t>
  </si>
  <si>
    <t>2026-08-10</t>
  </si>
  <si>
    <t>C045</t>
  </si>
  <si>
    <t>Cameron Miller</t>
  </si>
  <si>
    <t>cameron.miller45@example.com</t>
  </si>
  <si>
    <t>404-555-1045</t>
  </si>
  <si>
    <t>2026-07-18</t>
  </si>
  <si>
    <t>C104</t>
  </si>
  <si>
    <t>PARKER JACKSON</t>
  </si>
  <si>
    <t>parker.jackson104@example.com</t>
  </si>
  <si>
    <t>4045551104</t>
  </si>
  <si>
    <t>01/26/2026</t>
  </si>
  <si>
    <t>C003</t>
  </si>
  <si>
    <t>Drew Taylor</t>
  </si>
  <si>
    <t>drew.taylor3@example.com</t>
  </si>
  <si>
    <t>4045551003</t>
  </si>
  <si>
    <t>C089</t>
  </si>
  <si>
    <t>Quinn Anderson</t>
  </si>
  <si>
    <t>quinn.anderson89@example.com</t>
  </si>
  <si>
    <t>4045551089</t>
  </si>
  <si>
    <t>C085</t>
  </si>
  <si>
    <t>Alex Moore</t>
  </si>
  <si>
    <t>alex.moore85@example.com</t>
  </si>
  <si>
    <t>4045551085</t>
  </si>
  <si>
    <t>06/18/2026</t>
  </si>
  <si>
    <t>C102</t>
  </si>
  <si>
    <t>Alex Brown</t>
  </si>
  <si>
    <t>alex.brown102@example.com</t>
  </si>
  <si>
    <t>4045551102</t>
  </si>
  <si>
    <t>2026-07-06</t>
  </si>
  <si>
    <t>C133</t>
  </si>
  <si>
    <t>(404) 555-1133</t>
  </si>
  <si>
    <t>09/07/2026</t>
  </si>
  <si>
    <t>C087</t>
  </si>
  <si>
    <t>Dakota Moore</t>
  </si>
  <si>
    <t>dakota.moore87@example.com</t>
  </si>
  <si>
    <t>4045551087</t>
  </si>
  <si>
    <t>2026-05-06</t>
  </si>
  <si>
    <t>C052</t>
  </si>
  <si>
    <t>REESE WHITE</t>
  </si>
  <si>
    <t>reese.white52@example.com</t>
  </si>
  <si>
    <t>4045551052</t>
  </si>
  <si>
    <t>05/26/2026</t>
  </si>
  <si>
    <t>C037</t>
  </si>
  <si>
    <t>Avery Anderson</t>
  </si>
  <si>
    <t>avery.anderson37@example.com</t>
  </si>
  <si>
    <t>4045551037</t>
  </si>
  <si>
    <t>C057</t>
  </si>
  <si>
    <t>Taylor Martin</t>
  </si>
  <si>
    <t>4045551057</t>
  </si>
  <si>
    <t>2026-02-23</t>
  </si>
  <si>
    <t>C010</t>
  </si>
  <si>
    <t>robin.white10@example.com</t>
  </si>
  <si>
    <t>4045551010</t>
  </si>
  <si>
    <t>05/15/2026</t>
  </si>
  <si>
    <t>C131</t>
  </si>
  <si>
    <t>reese.harris131@example.com</t>
  </si>
  <si>
    <t>4045551131</t>
  </si>
  <si>
    <t>04/01/2026</t>
  </si>
  <si>
    <t>C135</t>
  </si>
  <si>
    <t>Blake Moore</t>
  </si>
  <si>
    <t>blake.moore135@example.com</t>
  </si>
  <si>
    <t>404-555-1135</t>
  </si>
  <si>
    <t>2026-08-06</t>
  </si>
  <si>
    <t>C084</t>
  </si>
  <si>
    <t>dakota.brown84@example.com</t>
  </si>
  <si>
    <t>(404) 555-1084</t>
  </si>
  <si>
    <t>2026-05-07</t>
  </si>
  <si>
    <t>C014</t>
  </si>
  <si>
    <t>kendall.martin14@example.com</t>
  </si>
  <si>
    <t>(404) 555-1014</t>
  </si>
  <si>
    <t>02/11/2026</t>
  </si>
  <si>
    <t>C122</t>
  </si>
  <si>
    <t>devin.white122@example.com</t>
  </si>
  <si>
    <t>4045551122</t>
  </si>
  <si>
    <t>07/01/2026</t>
  </si>
  <si>
    <t>C090</t>
  </si>
  <si>
    <t>Cameron Wilson</t>
  </si>
  <si>
    <t>cameron.wilson90@example.com</t>
  </si>
  <si>
    <t>404-555-1090</t>
  </si>
  <si>
    <t>2026-05-12</t>
  </si>
  <si>
    <t>C048</t>
  </si>
  <si>
    <t>Devin Davis</t>
  </si>
  <si>
    <t>devin.davis48@example.com</t>
  </si>
  <si>
    <t>4045551048</t>
  </si>
  <si>
    <t>C022</t>
  </si>
  <si>
    <t>Taylor Wilson</t>
  </si>
  <si>
    <t>taylor.wilson22@example.com</t>
  </si>
  <si>
    <t>4045551022</t>
  </si>
  <si>
    <t>C129</t>
  </si>
  <si>
    <t>blake.thompson129@example.com</t>
  </si>
  <si>
    <t>4045551129</t>
  </si>
  <si>
    <t>2026-06-20</t>
  </si>
  <si>
    <t>C015</t>
  </si>
  <si>
    <t>parker.thomas15@example.com</t>
  </si>
  <si>
    <t>4045551015</t>
  </si>
  <si>
    <t>2026-01-17</t>
  </si>
  <si>
    <t>C071</t>
  </si>
  <si>
    <t>Sam Thompson</t>
  </si>
  <si>
    <t>sam.thompson71@example.com</t>
  </si>
  <si>
    <t>4045551071</t>
  </si>
  <si>
    <t>C111</t>
  </si>
  <si>
    <t>Reese Brown</t>
  </si>
  <si>
    <t>reese.brown111@example.com</t>
  </si>
  <si>
    <t>4045551111</t>
  </si>
  <si>
    <t>2026-09-09</t>
  </si>
  <si>
    <t>C012</t>
  </si>
  <si>
    <t>Sydney Miller</t>
  </si>
  <si>
    <t>sydney.miller12@example.com</t>
  </si>
  <si>
    <t>4045551012</t>
  </si>
  <si>
    <t>2026-02-14</t>
  </si>
  <si>
    <t>C063</t>
  </si>
  <si>
    <t>riley.taylor63@example.com</t>
  </si>
  <si>
    <t>(404) 555-1063</t>
  </si>
  <si>
    <t>CANCELLED</t>
  </si>
  <si>
    <t>C021</t>
  </si>
  <si>
    <t>Dakota Harris</t>
  </si>
  <si>
    <t>dakota.harris21@example.com</t>
  </si>
  <si>
    <t>(404) 555-1021</t>
  </si>
  <si>
    <t>2026-03-04</t>
  </si>
  <si>
    <t>C138</t>
  </si>
  <si>
    <t>Kendall Jackson</t>
  </si>
  <si>
    <t>kendall.jackson138@example.com</t>
  </si>
  <si>
    <t>4045551138</t>
  </si>
  <si>
    <t>2026-05-22</t>
  </si>
  <si>
    <t>C098</t>
  </si>
  <si>
    <t>morgan.brown98@example.com</t>
  </si>
  <si>
    <t>(404) 555-1098</t>
  </si>
  <si>
    <t>08/27/2026</t>
  </si>
  <si>
    <t>C097</t>
  </si>
  <si>
    <t>Alex Thomas</t>
  </si>
  <si>
    <t>alex.thomas97@example.com</t>
  </si>
  <si>
    <t>4045551097</t>
  </si>
  <si>
    <t>C059</t>
  </si>
  <si>
    <t>jordan.davis59@example.com</t>
  </si>
  <si>
    <t>4045551059</t>
  </si>
  <si>
    <t>08/18/2026</t>
  </si>
  <si>
    <t>C124</t>
  </si>
  <si>
    <t>Devin Miller</t>
  </si>
  <si>
    <t>devin.miller124@example.com</t>
  </si>
  <si>
    <t>4045551124</t>
  </si>
  <si>
    <t>03/07/2026</t>
  </si>
  <si>
    <t>C018</t>
  </si>
  <si>
    <t>sam.thompson18@example.com</t>
  </si>
  <si>
    <t>404-555-1018</t>
  </si>
  <si>
    <t>2026-07-27</t>
  </si>
  <si>
    <t>C093</t>
  </si>
  <si>
    <t>Avery Williams</t>
  </si>
  <si>
    <t>avery.williams93@example.com</t>
  </si>
  <si>
    <t>4045551093</t>
  </si>
  <si>
    <t>2026-06-13</t>
  </si>
  <si>
    <t>C077</t>
  </si>
  <si>
    <t>Parker Brown</t>
  </si>
  <si>
    <t>parker.brown77@example.com</t>
  </si>
  <si>
    <t>(404) 555-1077</t>
  </si>
  <si>
    <t>01/18/2026</t>
  </si>
  <si>
    <t>C113</t>
  </si>
  <si>
    <t>Devin Jackson</t>
  </si>
  <si>
    <t>devin.jackson113@example.com</t>
  </si>
  <si>
    <t>4045551113</t>
  </si>
  <si>
    <t>C110</t>
  </si>
  <si>
    <t>Jordan Williams</t>
  </si>
  <si>
    <t>jordan.williams110@example.com</t>
  </si>
  <si>
    <t>4045551110</t>
  </si>
  <si>
    <t>05/01/2026</t>
  </si>
  <si>
    <t>C002</t>
  </si>
  <si>
    <t>Cameron White</t>
  </si>
  <si>
    <t>cameron.white2@example.com</t>
  </si>
  <si>
    <t>4045551002</t>
  </si>
  <si>
    <t>06/08/2026</t>
  </si>
  <si>
    <t>C074</t>
  </si>
  <si>
    <t>Sam Williams</t>
  </si>
  <si>
    <t>sam.williams74@example.com</t>
  </si>
  <si>
    <t>4045551074</t>
  </si>
  <si>
    <t>01/06/2026</t>
  </si>
  <si>
    <t>C117</t>
  </si>
  <si>
    <t>PARKER MARTIN</t>
  </si>
  <si>
    <t>parker.martin117@example.com</t>
  </si>
  <si>
    <t>404-555-1117</t>
  </si>
  <si>
    <t>C019</t>
  </si>
  <si>
    <t>Parker Martin</t>
  </si>
  <si>
    <t>4045551019</t>
  </si>
  <si>
    <t>04/17/2026</t>
  </si>
  <si>
    <t>C007</t>
  </si>
  <si>
    <t>Taylor Williams</t>
  </si>
  <si>
    <t>taylor.williams7@example.com</t>
  </si>
  <si>
    <t>(404) 555-1007</t>
  </si>
  <si>
    <t>07/02/2026</t>
  </si>
  <si>
    <t>Duplicate Check</t>
  </si>
  <si>
    <t>Total Records</t>
  </si>
  <si>
    <t>Records with Repeated IDs</t>
  </si>
  <si>
    <t>Exact Duplicate Check</t>
  </si>
  <si>
    <t>Original Exact Duplicate Rows</t>
  </si>
  <si>
    <t>Records Removed</t>
  </si>
  <si>
    <t>Data Validation Report</t>
  </si>
  <si>
    <t>Validation Check</t>
  </si>
  <si>
    <t>Result</t>
  </si>
  <si>
    <t>Missing Customer IDs</t>
  </si>
  <si>
    <t>Missing Email Adrresses</t>
  </si>
  <si>
    <t>Invalid Order Amounts</t>
  </si>
  <si>
    <t>Invalid Order Statuses</t>
  </si>
  <si>
    <t>Total Validation Issues</t>
  </si>
  <si>
    <t>Completed Order Revenue</t>
  </si>
  <si>
    <t>Customer ID Lookup</t>
  </si>
  <si>
    <t>Data Quality Status</t>
  </si>
  <si>
    <t>Data Quality Reviiew</t>
  </si>
  <si>
    <t>Records Needing Review</t>
  </si>
  <si>
    <t>Valid Records</t>
  </si>
  <si>
    <t>Remaining Exact Duplicates</t>
  </si>
  <si>
    <t>Audit Notes</t>
  </si>
  <si>
    <t>SUMMIT RETAIL | DATA QUALITY AUDIT</t>
  </si>
  <si>
    <t>Robin Jackson</t>
  </si>
  <si>
    <t>Avery Thomas</t>
  </si>
  <si>
    <t>Sydney Thompson</t>
  </si>
  <si>
    <t>Robin Williams</t>
  </si>
  <si>
    <t>Taylor Jackson</t>
  </si>
  <si>
    <t>Drew Anderson</t>
  </si>
  <si>
    <t>Seven records contain missing email addresses, and four records contain missing order amounts. All 11 affected records have been flagged for manual review. No remaining exact duplicate records were detected.</t>
  </si>
  <si>
    <t>(404) 555-1109</t>
  </si>
  <si>
    <t>(404) 555-1055</t>
  </si>
  <si>
    <t>(404) 555-1004</t>
  </si>
  <si>
    <t>(404) 555-1044</t>
  </si>
  <si>
    <t>(404) 555-1026</t>
  </si>
  <si>
    <t>(404) 555-1076</t>
  </si>
  <si>
    <t>(404) 555-1086</t>
  </si>
  <si>
    <t>(404) 555-1016</t>
  </si>
  <si>
    <t>(404) 555-1125</t>
  </si>
  <si>
    <t>(404) 555-1058</t>
  </si>
  <si>
    <t>(404) 555-1127</t>
  </si>
  <si>
    <t>(404) 555-1036</t>
  </si>
  <si>
    <t>(404) 555-1073</t>
  </si>
  <si>
    <t>(404) 555-1005</t>
  </si>
  <si>
    <t>(404) 555-1031</t>
  </si>
  <si>
    <t>(404) 555-1079</t>
  </si>
  <si>
    <t>(404) 555-1068</t>
  </si>
  <si>
    <t>(404) 555-1041</t>
  </si>
  <si>
    <t>(404) 555-1062</t>
  </si>
  <si>
    <t>(404) 555-1027</t>
  </si>
  <si>
    <t>(404) 555-1100</t>
  </si>
  <si>
    <t>(404) 555-1128</t>
  </si>
  <si>
    <t>(404) 555-1053</t>
  </si>
  <si>
    <t>(404) 555-1107</t>
  </si>
  <si>
    <t>(404) 555-1040</t>
  </si>
  <si>
    <t>(404) 555-1051</t>
  </si>
  <si>
    <t>(404) 555-1061</t>
  </si>
  <si>
    <t>(404) 555-1120</t>
  </si>
  <si>
    <t>(404) 555-1017</t>
  </si>
  <si>
    <t>(404) 555-1046</t>
  </si>
  <si>
    <t>(404) 555-1083</t>
  </si>
  <si>
    <t>(404) 555-1123</t>
  </si>
  <si>
    <t>(404) 555-1050</t>
  </si>
  <si>
    <t>(404) 555-1139</t>
  </si>
  <si>
    <t>(404) 555-1096</t>
  </si>
  <si>
    <t>(404) 555-1038</t>
  </si>
  <si>
    <t>(404) 555-1082</t>
  </si>
  <si>
    <t>(404) 555-1118</t>
  </si>
  <si>
    <t>(404) 555-1080</t>
  </si>
  <si>
    <t>(404) 555-1066</t>
  </si>
  <si>
    <t>(404) 555-1009</t>
  </si>
  <si>
    <t>(404) 555-1069</t>
  </si>
  <si>
    <t>(404) 555-1072</t>
  </si>
  <si>
    <t>(404) 555-1106</t>
  </si>
  <si>
    <t>(404) 555-1134</t>
  </si>
  <si>
    <t>(404) 555-1067</t>
  </si>
  <si>
    <t>(404) 555-1103</t>
  </si>
  <si>
    <t>(404) 555-1029</t>
  </si>
  <si>
    <t>(404) 555-1108</t>
  </si>
  <si>
    <t>(404) 555-1001</t>
  </si>
  <si>
    <t>(404) 555-1060</t>
  </si>
  <si>
    <t>(404) 555-1065</t>
  </si>
  <si>
    <t>(404) 555-1030</t>
  </si>
  <si>
    <t>(404) 555-1116</t>
  </si>
  <si>
    <t>(404) 555-1006</t>
  </si>
  <si>
    <t>(404) 555-1092</t>
  </si>
  <si>
    <t>(404) 555-1047</t>
  </si>
  <si>
    <t>(404) 555-1075</t>
  </si>
  <si>
    <t>(404) 555-1130</t>
  </si>
  <si>
    <t>(404) 555-1114</t>
  </si>
  <si>
    <t>(404) 555-1136</t>
  </si>
  <si>
    <t>(404) 555-1088</t>
  </si>
  <si>
    <t>(404) 555-1095</t>
  </si>
  <si>
    <t>(404) 555-1033</t>
  </si>
  <si>
    <t>(404) 555-1115</t>
  </si>
  <si>
    <t>(404) 555-1011</t>
  </si>
  <si>
    <t>(404) 555-1121</t>
  </si>
  <si>
    <t>(404) 555-1094</t>
  </si>
  <si>
    <t>(404) 555-1020</t>
  </si>
  <si>
    <t>(404) 555-1032</t>
  </si>
  <si>
    <t>(404) 555-1099</t>
  </si>
  <si>
    <t>(404) 555-1064</t>
  </si>
  <si>
    <t>(404) 555-1101</t>
  </si>
  <si>
    <t>(404) 555-1024</t>
  </si>
  <si>
    <t>(404) 555-1013</t>
  </si>
  <si>
    <t>(404) 555-1137</t>
  </si>
  <si>
    <t>(404) 555-1081</t>
  </si>
  <si>
    <t>(404) 555-1023</t>
  </si>
  <si>
    <t>(404) 555-1054</t>
  </si>
  <si>
    <t>(404) 555-1078</t>
  </si>
  <si>
    <t>(404) 555-1043</t>
  </si>
  <si>
    <t>(404) 555-1008</t>
  </si>
  <si>
    <t>(404) 555-1034</t>
  </si>
  <si>
    <t>(404) 555-1039</t>
  </si>
  <si>
    <t>(404) 555-1025</t>
  </si>
  <si>
    <t>(404) 555-1132</t>
  </si>
  <si>
    <t>(404) 555-1045</t>
  </si>
  <si>
    <t>(404) 555-1104</t>
  </si>
  <si>
    <t>(404) 555-1003</t>
  </si>
  <si>
    <t>(404) 555-1089</t>
  </si>
  <si>
    <t>(404) 555-1085</t>
  </si>
  <si>
    <t>(404) 555-1102</t>
  </si>
  <si>
    <t>(404) 555-1087</t>
  </si>
  <si>
    <t>(404) 555-1052</t>
  </si>
  <si>
    <t>(404) 555-1037</t>
  </si>
  <si>
    <t>(404) 555-1057</t>
  </si>
  <si>
    <t>(404) 555-1010</t>
  </si>
  <si>
    <t>(404) 555-1131</t>
  </si>
  <si>
    <t>(404) 555-1135</t>
  </si>
  <si>
    <t>(404) 555-1122</t>
  </si>
  <si>
    <t>(404) 555-1090</t>
  </si>
  <si>
    <t>(404) 555-1048</t>
  </si>
  <si>
    <t>(404) 555-1022</t>
  </si>
  <si>
    <t>(404) 555-1129</t>
  </si>
  <si>
    <t>(404) 555-1015</t>
  </si>
  <si>
    <t>(404) 555-1071</t>
  </si>
  <si>
    <t>(404) 555-1111</t>
  </si>
  <si>
    <t>(404) 555-1012</t>
  </si>
  <si>
    <t>(404) 555-1138</t>
  </si>
  <si>
    <t>(404) 555-1097</t>
  </si>
  <si>
    <t>(404) 555-1059</t>
  </si>
  <si>
    <t>(404) 555-1124</t>
  </si>
  <si>
    <t>(404) 555-1018</t>
  </si>
  <si>
    <t>(404) 555-1093</t>
  </si>
  <si>
    <t>(404) 555-1113</t>
  </si>
  <si>
    <t>(404) 555-1110</t>
  </si>
  <si>
    <t>(404) 555-1002</t>
  </si>
  <si>
    <t>(404) 555-1074</t>
  </si>
  <si>
    <t>(404) 555-1117</t>
  </si>
  <si>
    <t>(404) 555-1019</t>
  </si>
  <si>
    <t>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</si>
</sst>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0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164" fontId="0" fillId="0" borderId="0" xfId="0" applyNumberForma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9CDED-A14F-0A4A-8946-E9C8146F5916}" name="tbl_RawData." displayName="tbl_RawData." ref="A1:H151" totalsRowShown="0">
  <autoFilter ref="A1:H151" xr:uid="{7129CDED-A14F-0A4A-8946-E9C8146F5916}"/>
  <tableColumns count="8">
    <tableColumn id="1" xr3:uid="{A3F5C98D-D197-7342-9F05-99FEF39593B2}" name="Customer ID"/>
    <tableColumn id="2" xr3:uid="{F25F61E5-DD60-AC45-AD68-543869A4C4E0}" name="Customer Name"/>
    <tableColumn id="3" xr3:uid="{517CAF68-8261-0E42-B03F-E8385062FEBA}" name="Email"/>
    <tableColumn id="4" xr3:uid="{93E64527-C236-0443-B320-C9C787834286}" name="Phone"/>
    <tableColumn id="5" xr3:uid="{202C3E6A-38F9-3842-8230-ECD47F992789}" name="City"/>
    <tableColumn id="6" xr3:uid="{78D8B662-5651-1E40-B2EF-8F4CC8EB8ECF}" name="Order Date"/>
    <tableColumn id="7" xr3:uid="{14FA9CAE-599D-134E-99B9-3F5F95476082}" name="Order Amount"/>
    <tableColumn id="8" xr3:uid="{48ECE4CC-3F70-8A43-A386-87FAF7FAA3BF}" name="Order Status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DCD2E1-DADE-B648-BD04-4E19B775F4C9}" name="tbl_CleanedData" displayName="tbl_CleanedData" ref="A1:K141" totalsRowShown="0">
  <autoFilter ref="A1:K141" xr:uid="{25DCD2E1-DADE-B648-BD04-4E19B775F4C9}"/>
  <sortState xmlns:xlrd2="http://schemas.microsoft.com/office/spreadsheetml/2017/richdata2" ref="A2:K141">
    <sortCondition ref="F2:F141"/>
  </sortState>
  <tableColumns count="11">
    <tableColumn id="1" xr3:uid="{0AD51003-2DE7-7F44-90F5-B21853883ABD}" name="Customer ID"/>
    <tableColumn id="2" xr3:uid="{3F79DA4F-F9CC-DC44-A3E6-701425EC1116}" name="Customer Name"/>
    <tableColumn id="3" xr3:uid="{8FD2DF1C-0E38-AA4F-9270-76F0D4BCA370}" name="Email"/>
    <tableColumn id="4" xr3:uid="{D06A579F-FD2A-C143-8219-1BB694767C73}" name="Phone"/>
    <tableColumn id="5" xr3:uid="{F1DF165D-8619-6C43-8C49-57BD403F0AB6}" name="City"/>
    <tableColumn id="6" xr3:uid="{EC8937B8-E3ED-C349-875D-B703DAF30CE6}" name="Order Date" dataDxfId="4"/>
    <tableColumn id="7" xr3:uid="{0BBD87E1-C3F4-BA41-B1D6-86C9A8A26DB6}" name="Order Amount"/>
    <tableColumn id="8" xr3:uid="{C23F2D31-21B1-B347-8888-1B41321B7745}" name="Order Status"/>
    <tableColumn id="9" xr3:uid="{8F8FFEDE-8667-7A4E-AB7E-E2CF2B248C83}" name="Duplicate Check" dataDxfId="3">
      <calculatedColumnFormula>COUNTIF($A$2:$A$141,A2)</calculatedColumnFormula>
    </tableColumn>
    <tableColumn id="10" xr3:uid="{1CBDF319-3442-1A4F-B30E-1C2685BDC7DA}" name="Exact Duplicate Check" dataDxfId="2">
      <calculatedColumnFormula>COUNTIFS(A$2:A2,A2,B$2:B2,B2,C$2:C2,IF(C2="","=",C2),D$2:D2,IF(D2="","=",D2),E$2:E2,IF(E2="","=",E2),F$2:F2,F2,G$2:G2,IF(G2="","=",G2),H$2:H2,H2)</calculatedColumnFormula>
    </tableColumn>
    <tableColumn id="11" xr3:uid="{8296CB3B-4E8B-5A49-84AE-D03DD786F1E3}" name="Data Quality Status" dataDxfId="1">
      <calculatedColumnFormula>IF(OR(C2="",G2="",NOT(ISNUMBER(G2)),AND(ISNUMBER(G2),G2&lt;=0)),"Needs Review","Valid")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26B4-EA21-7242-B17D-9758E6F9C5E0}">
  <dimension ref="A1:H151"/>
  <sheetViews>
    <sheetView workbookViewId="0">
      <selection activeCell="I4" sqref="I4"/>
    </sheetView>
  </sheetViews>
  <sheetFormatPr baseColWidth="10" defaultRowHeight="16" x14ac:dyDescent="0.2"/>
  <cols>
    <col min="1" max="1" width="14.1640625" bestFit="1" customWidth="1"/>
    <col min="2" max="2" width="17.33203125" bestFit="1" customWidth="1"/>
    <col min="3" max="3" width="31.33203125" bestFit="1" customWidth="1"/>
    <col min="4" max="4" width="13.5" bestFit="1" customWidth="1"/>
    <col min="5" max="5" width="12.1640625" bestFit="1" customWidth="1"/>
    <col min="6" max="6" width="12.6640625" bestFit="1" customWidth="1"/>
    <col min="7" max="7" width="15.1640625" bestFit="1" customWidth="1"/>
    <col min="8" max="8" width="14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241.95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89.47</v>
      </c>
      <c r="H3" t="s">
        <v>21</v>
      </c>
    </row>
    <row r="4" spans="1:8" x14ac:dyDescent="0.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261.06</v>
      </c>
      <c r="H4" t="s">
        <v>28</v>
      </c>
    </row>
    <row r="5" spans="1:8" x14ac:dyDescent="0.2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105.24</v>
      </c>
      <c r="H5" t="s">
        <v>21</v>
      </c>
    </row>
    <row r="6" spans="1:8" x14ac:dyDescent="0.2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162.02000000000001</v>
      </c>
      <c r="H6" t="s">
        <v>14</v>
      </c>
    </row>
    <row r="7" spans="1:8" x14ac:dyDescent="0.2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>
        <v>38.479999999999997</v>
      </c>
      <c r="H7" t="s">
        <v>28</v>
      </c>
    </row>
    <row r="8" spans="1:8" x14ac:dyDescent="0.2">
      <c r="A8" t="s">
        <v>47</v>
      </c>
      <c r="B8" t="s">
        <v>48</v>
      </c>
      <c r="D8" t="s">
        <v>49</v>
      </c>
      <c r="E8" t="s">
        <v>50</v>
      </c>
      <c r="F8" t="s">
        <v>51</v>
      </c>
      <c r="G8">
        <v>116.07</v>
      </c>
      <c r="H8" t="s">
        <v>21</v>
      </c>
    </row>
    <row r="9" spans="1:8" x14ac:dyDescent="0.2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>
        <v>265.52999999999997</v>
      </c>
      <c r="H9" t="s">
        <v>21</v>
      </c>
    </row>
    <row r="10" spans="1:8" x14ac:dyDescent="0.2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>
        <v>250.38</v>
      </c>
      <c r="H10" t="s">
        <v>64</v>
      </c>
    </row>
    <row r="11" spans="1:8" x14ac:dyDescent="0.2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>
        <v>174.03</v>
      </c>
      <c r="H11" t="s">
        <v>14</v>
      </c>
    </row>
    <row r="12" spans="1:8" x14ac:dyDescent="0.2">
      <c r="A12" t="s">
        <v>71</v>
      </c>
      <c r="B12" t="s">
        <v>72</v>
      </c>
      <c r="C12" t="s">
        <v>73</v>
      </c>
      <c r="D12" t="s">
        <v>74</v>
      </c>
      <c r="E12" t="s">
        <v>45</v>
      </c>
      <c r="F12" t="s">
        <v>75</v>
      </c>
      <c r="H12" t="s">
        <v>14</v>
      </c>
    </row>
    <row r="13" spans="1:8" x14ac:dyDescent="0.2">
      <c r="A13" t="s">
        <v>76</v>
      </c>
      <c r="B13" t="s">
        <v>77</v>
      </c>
      <c r="C13" t="s">
        <v>78</v>
      </c>
      <c r="D13" t="s">
        <v>79</v>
      </c>
      <c r="E13" t="s">
        <v>26</v>
      </c>
      <c r="F13" t="s">
        <v>80</v>
      </c>
      <c r="G13">
        <v>149.16999999999999</v>
      </c>
      <c r="H13" t="s">
        <v>28</v>
      </c>
    </row>
    <row r="14" spans="1:8" x14ac:dyDescent="0.2">
      <c r="A14" t="s">
        <v>81</v>
      </c>
      <c r="B14" t="s">
        <v>82</v>
      </c>
      <c r="C14" t="s">
        <v>83</v>
      </c>
      <c r="D14" t="s">
        <v>84</v>
      </c>
      <c r="E14" t="s">
        <v>45</v>
      </c>
      <c r="F14" t="s">
        <v>85</v>
      </c>
      <c r="G14">
        <v>186.52</v>
      </c>
      <c r="H14" t="s">
        <v>14</v>
      </c>
    </row>
    <row r="15" spans="1:8" x14ac:dyDescent="0.2">
      <c r="A15" t="s">
        <v>86</v>
      </c>
      <c r="B15" t="s">
        <v>87</v>
      </c>
      <c r="C15" t="s">
        <v>88</v>
      </c>
      <c r="D15" t="s">
        <v>89</v>
      </c>
      <c r="E15" t="s">
        <v>50</v>
      </c>
      <c r="F15" t="s">
        <v>90</v>
      </c>
      <c r="G15">
        <v>217.26</v>
      </c>
      <c r="H15" t="s">
        <v>91</v>
      </c>
    </row>
    <row r="16" spans="1:8" x14ac:dyDescent="0.2">
      <c r="A16" t="s">
        <v>92</v>
      </c>
      <c r="B16" t="s">
        <v>93</v>
      </c>
      <c r="C16" t="s">
        <v>94</v>
      </c>
      <c r="D16" t="s">
        <v>95</v>
      </c>
      <c r="E16" t="s">
        <v>69</v>
      </c>
      <c r="F16" t="s">
        <v>96</v>
      </c>
      <c r="G16">
        <v>213.82</v>
      </c>
      <c r="H16" t="s">
        <v>28</v>
      </c>
    </row>
    <row r="17" spans="1:8" x14ac:dyDescent="0.2">
      <c r="A17" t="s">
        <v>97</v>
      </c>
      <c r="B17" t="s">
        <v>98</v>
      </c>
      <c r="C17" t="s">
        <v>99</v>
      </c>
      <c r="D17" t="s">
        <v>100</v>
      </c>
      <c r="E17" t="s">
        <v>45</v>
      </c>
      <c r="F17" t="s">
        <v>101</v>
      </c>
      <c r="G17">
        <v>123.49</v>
      </c>
      <c r="H17" t="s">
        <v>91</v>
      </c>
    </row>
    <row r="18" spans="1:8" x14ac:dyDescent="0.2">
      <c r="A18" t="s">
        <v>102</v>
      </c>
      <c r="B18" t="s">
        <v>103</v>
      </c>
      <c r="C18" t="s">
        <v>104</v>
      </c>
      <c r="D18" t="s">
        <v>105</v>
      </c>
      <c r="E18" t="s">
        <v>69</v>
      </c>
      <c r="F18" t="s">
        <v>106</v>
      </c>
      <c r="G18">
        <v>95.32</v>
      </c>
      <c r="H18" t="s">
        <v>14</v>
      </c>
    </row>
    <row r="19" spans="1:8" x14ac:dyDescent="0.2">
      <c r="A19" t="s">
        <v>107</v>
      </c>
      <c r="B19" t="s">
        <v>108</v>
      </c>
      <c r="C19" t="s">
        <v>109</v>
      </c>
      <c r="D19" t="s">
        <v>110</v>
      </c>
      <c r="E19" t="s">
        <v>26</v>
      </c>
      <c r="F19" t="s">
        <v>111</v>
      </c>
      <c r="G19">
        <v>306.23</v>
      </c>
      <c r="H19" t="s">
        <v>28</v>
      </c>
    </row>
    <row r="20" spans="1:8" x14ac:dyDescent="0.2">
      <c r="A20" t="s">
        <v>112</v>
      </c>
      <c r="B20" t="s">
        <v>113</v>
      </c>
      <c r="C20" t="s">
        <v>114</v>
      </c>
      <c r="D20" t="s">
        <v>115</v>
      </c>
      <c r="E20" t="s">
        <v>62</v>
      </c>
      <c r="F20" t="s">
        <v>116</v>
      </c>
      <c r="G20">
        <v>45.08</v>
      </c>
      <c r="H20" t="s">
        <v>21</v>
      </c>
    </row>
    <row r="21" spans="1:8" x14ac:dyDescent="0.2">
      <c r="A21" t="s">
        <v>117</v>
      </c>
      <c r="B21" t="s">
        <v>118</v>
      </c>
      <c r="C21" t="s">
        <v>119</v>
      </c>
      <c r="D21" t="s">
        <v>120</v>
      </c>
      <c r="E21" t="s">
        <v>69</v>
      </c>
      <c r="F21" t="s">
        <v>121</v>
      </c>
      <c r="G21">
        <v>309.8</v>
      </c>
      <c r="H21" t="s">
        <v>91</v>
      </c>
    </row>
    <row r="22" spans="1:8" x14ac:dyDescent="0.2">
      <c r="A22" t="s">
        <v>122</v>
      </c>
      <c r="B22" t="s">
        <v>123</v>
      </c>
      <c r="C22" t="s">
        <v>124</v>
      </c>
      <c r="D22" t="s">
        <v>125</v>
      </c>
      <c r="E22" t="s">
        <v>45</v>
      </c>
      <c r="F22" t="s">
        <v>126</v>
      </c>
      <c r="G22">
        <v>221.79</v>
      </c>
      <c r="H22" t="s">
        <v>127</v>
      </c>
    </row>
    <row r="23" spans="1:8" x14ac:dyDescent="0.2">
      <c r="A23" t="s">
        <v>128</v>
      </c>
      <c r="B23" t="s">
        <v>129</v>
      </c>
      <c r="C23" t="s">
        <v>130</v>
      </c>
      <c r="D23" t="s">
        <v>131</v>
      </c>
      <c r="E23" t="s">
        <v>12</v>
      </c>
      <c r="F23" t="s">
        <v>132</v>
      </c>
      <c r="G23">
        <v>156.72</v>
      </c>
      <c r="H23" t="s">
        <v>21</v>
      </c>
    </row>
    <row r="24" spans="1:8" x14ac:dyDescent="0.2">
      <c r="A24" t="s">
        <v>133</v>
      </c>
      <c r="B24" t="s">
        <v>134</v>
      </c>
      <c r="C24" t="s">
        <v>135</v>
      </c>
      <c r="D24" t="s">
        <v>136</v>
      </c>
      <c r="E24" t="s">
        <v>26</v>
      </c>
      <c r="F24" t="s">
        <v>34</v>
      </c>
      <c r="G24">
        <v>287.39999999999998</v>
      </c>
      <c r="H24" t="s">
        <v>28</v>
      </c>
    </row>
    <row r="25" spans="1:8" x14ac:dyDescent="0.2">
      <c r="A25" t="s">
        <v>137</v>
      </c>
      <c r="B25" t="s">
        <v>138</v>
      </c>
      <c r="C25" t="s">
        <v>139</v>
      </c>
      <c r="D25" t="s">
        <v>140</v>
      </c>
      <c r="E25" t="s">
        <v>45</v>
      </c>
      <c r="F25" t="s">
        <v>141</v>
      </c>
      <c r="G25">
        <v>73.41</v>
      </c>
      <c r="H25" t="s">
        <v>142</v>
      </c>
    </row>
    <row r="26" spans="1:8" x14ac:dyDescent="0.2">
      <c r="A26" t="s">
        <v>143</v>
      </c>
      <c r="B26" t="s">
        <v>144</v>
      </c>
      <c r="C26" t="s">
        <v>145</v>
      </c>
      <c r="D26" t="s">
        <v>146</v>
      </c>
      <c r="E26" t="s">
        <v>12</v>
      </c>
      <c r="F26" t="s">
        <v>147</v>
      </c>
      <c r="G26">
        <v>97.79</v>
      </c>
      <c r="H26" t="s">
        <v>91</v>
      </c>
    </row>
    <row r="27" spans="1:8" x14ac:dyDescent="0.2">
      <c r="A27" t="s">
        <v>148</v>
      </c>
      <c r="B27" t="s">
        <v>149</v>
      </c>
      <c r="C27" t="s">
        <v>150</v>
      </c>
      <c r="D27" t="s">
        <v>151</v>
      </c>
      <c r="E27" t="s">
        <v>62</v>
      </c>
      <c r="F27" t="s">
        <v>106</v>
      </c>
      <c r="G27">
        <v>324.41000000000003</v>
      </c>
      <c r="H27" t="s">
        <v>91</v>
      </c>
    </row>
    <row r="28" spans="1:8" x14ac:dyDescent="0.2">
      <c r="A28" t="s">
        <v>152</v>
      </c>
      <c r="B28" t="s">
        <v>153</v>
      </c>
      <c r="C28" t="s">
        <v>154</v>
      </c>
      <c r="D28" t="s">
        <v>155</v>
      </c>
      <c r="E28" t="s">
        <v>69</v>
      </c>
      <c r="F28" t="s">
        <v>156</v>
      </c>
      <c r="G28">
        <v>133.13</v>
      </c>
      <c r="H28" t="s">
        <v>91</v>
      </c>
    </row>
    <row r="29" spans="1:8" x14ac:dyDescent="0.2">
      <c r="A29" t="s">
        <v>92</v>
      </c>
      <c r="B29" t="s">
        <v>93</v>
      </c>
      <c r="C29" t="s">
        <v>94</v>
      </c>
      <c r="D29" t="s">
        <v>95</v>
      </c>
      <c r="E29" t="s">
        <v>69</v>
      </c>
      <c r="F29" t="s">
        <v>96</v>
      </c>
      <c r="G29">
        <v>213.82</v>
      </c>
      <c r="H29" t="s">
        <v>28</v>
      </c>
    </row>
    <row r="30" spans="1:8" x14ac:dyDescent="0.2">
      <c r="A30" t="s">
        <v>157</v>
      </c>
      <c r="B30" t="s">
        <v>158</v>
      </c>
      <c r="C30" t="s">
        <v>159</v>
      </c>
      <c r="D30" t="s">
        <v>160</v>
      </c>
      <c r="E30" t="s">
        <v>45</v>
      </c>
      <c r="F30" t="s">
        <v>161</v>
      </c>
      <c r="G30">
        <v>253.04</v>
      </c>
      <c r="H30" t="s">
        <v>64</v>
      </c>
    </row>
    <row r="31" spans="1:8" x14ac:dyDescent="0.2">
      <c r="A31" t="s">
        <v>162</v>
      </c>
      <c r="B31" t="s">
        <v>163</v>
      </c>
      <c r="C31" t="s">
        <v>164</v>
      </c>
      <c r="D31" t="s">
        <v>165</v>
      </c>
      <c r="E31" t="s">
        <v>50</v>
      </c>
      <c r="F31" t="s">
        <v>166</v>
      </c>
      <c r="G31">
        <v>48.14</v>
      </c>
      <c r="H31" t="s">
        <v>28</v>
      </c>
    </row>
    <row r="32" spans="1:8" x14ac:dyDescent="0.2">
      <c r="A32" t="s">
        <v>167</v>
      </c>
      <c r="B32" t="s">
        <v>168</v>
      </c>
      <c r="C32" t="s">
        <v>169</v>
      </c>
      <c r="D32" t="s">
        <v>170</v>
      </c>
      <c r="E32" t="s">
        <v>50</v>
      </c>
      <c r="F32" t="s">
        <v>171</v>
      </c>
      <c r="G32">
        <v>139.19</v>
      </c>
      <c r="H32" t="s">
        <v>28</v>
      </c>
    </row>
    <row r="33" spans="1:8" x14ac:dyDescent="0.2">
      <c r="A33" t="s">
        <v>172</v>
      </c>
      <c r="B33" t="s">
        <v>77</v>
      </c>
      <c r="C33" t="s">
        <v>173</v>
      </c>
      <c r="D33" t="s">
        <v>174</v>
      </c>
      <c r="E33" t="s">
        <v>50</v>
      </c>
      <c r="F33" t="s">
        <v>175</v>
      </c>
      <c r="G33">
        <v>116.32</v>
      </c>
      <c r="H33" t="s">
        <v>176</v>
      </c>
    </row>
    <row r="34" spans="1:8" x14ac:dyDescent="0.2">
      <c r="A34" t="s">
        <v>177</v>
      </c>
      <c r="B34" t="s">
        <v>178</v>
      </c>
      <c r="C34" t="s">
        <v>179</v>
      </c>
      <c r="D34" t="s">
        <v>180</v>
      </c>
      <c r="E34" t="s">
        <v>26</v>
      </c>
      <c r="F34" t="s">
        <v>181</v>
      </c>
      <c r="G34">
        <v>295.43</v>
      </c>
      <c r="H34" t="s">
        <v>14</v>
      </c>
    </row>
    <row r="35" spans="1:8" x14ac:dyDescent="0.2">
      <c r="A35" t="s">
        <v>177</v>
      </c>
      <c r="B35" t="s">
        <v>178</v>
      </c>
      <c r="C35" t="s">
        <v>179</v>
      </c>
      <c r="D35" t="s">
        <v>180</v>
      </c>
      <c r="E35" t="s">
        <v>26</v>
      </c>
      <c r="F35" t="s">
        <v>181</v>
      </c>
      <c r="G35">
        <v>295.43</v>
      </c>
      <c r="H35" t="s">
        <v>14</v>
      </c>
    </row>
    <row r="36" spans="1:8" x14ac:dyDescent="0.2">
      <c r="A36" t="s">
        <v>182</v>
      </c>
      <c r="B36" t="s">
        <v>183</v>
      </c>
      <c r="C36" t="s">
        <v>184</v>
      </c>
      <c r="D36" t="s">
        <v>185</v>
      </c>
      <c r="E36" t="s">
        <v>50</v>
      </c>
      <c r="F36" t="s">
        <v>90</v>
      </c>
      <c r="G36">
        <v>86.73</v>
      </c>
      <c r="H36" t="s">
        <v>14</v>
      </c>
    </row>
    <row r="37" spans="1:8" x14ac:dyDescent="0.2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191</v>
      </c>
      <c r="G37">
        <v>60.02</v>
      </c>
      <c r="H37" t="s">
        <v>21</v>
      </c>
    </row>
    <row r="38" spans="1:8" x14ac:dyDescent="0.2">
      <c r="A38" t="s">
        <v>192</v>
      </c>
      <c r="B38" t="s">
        <v>193</v>
      </c>
      <c r="C38" t="s">
        <v>194</v>
      </c>
      <c r="D38" t="s">
        <v>195</v>
      </c>
      <c r="E38" t="s">
        <v>62</v>
      </c>
      <c r="F38" t="s">
        <v>196</v>
      </c>
      <c r="G38">
        <v>134.41999999999999</v>
      </c>
      <c r="H38" t="s">
        <v>28</v>
      </c>
    </row>
    <row r="39" spans="1:8" x14ac:dyDescent="0.2">
      <c r="A39" t="s">
        <v>197</v>
      </c>
      <c r="B39" t="s">
        <v>198</v>
      </c>
      <c r="C39" t="s">
        <v>199</v>
      </c>
      <c r="D39" t="s">
        <v>200</v>
      </c>
      <c r="E39" t="s">
        <v>26</v>
      </c>
      <c r="F39" t="s">
        <v>201</v>
      </c>
      <c r="G39">
        <v>221.68</v>
      </c>
      <c r="H39" t="s">
        <v>14</v>
      </c>
    </row>
    <row r="40" spans="1:8" x14ac:dyDescent="0.2">
      <c r="A40" t="s">
        <v>202</v>
      </c>
      <c r="B40" t="s">
        <v>203</v>
      </c>
      <c r="C40" t="s">
        <v>204</v>
      </c>
      <c r="D40" t="s">
        <v>205</v>
      </c>
      <c r="E40" t="s">
        <v>12</v>
      </c>
      <c r="F40" t="s">
        <v>206</v>
      </c>
      <c r="G40">
        <v>123.25</v>
      </c>
      <c r="H40" t="s">
        <v>28</v>
      </c>
    </row>
    <row r="41" spans="1:8" x14ac:dyDescent="0.2">
      <c r="A41" t="s">
        <v>207</v>
      </c>
      <c r="B41" t="s">
        <v>208</v>
      </c>
      <c r="C41" t="s">
        <v>209</v>
      </c>
      <c r="D41" t="s">
        <v>210</v>
      </c>
      <c r="E41" t="s">
        <v>50</v>
      </c>
      <c r="F41" t="s">
        <v>211</v>
      </c>
      <c r="G41">
        <v>248.25</v>
      </c>
      <c r="H41" t="s">
        <v>14</v>
      </c>
    </row>
    <row r="42" spans="1:8" x14ac:dyDescent="0.2">
      <c r="A42" t="s">
        <v>143</v>
      </c>
      <c r="B42" t="s">
        <v>144</v>
      </c>
      <c r="C42" t="s">
        <v>145</v>
      </c>
      <c r="D42" t="s">
        <v>146</v>
      </c>
      <c r="E42" t="s">
        <v>12</v>
      </c>
      <c r="F42" t="s">
        <v>147</v>
      </c>
      <c r="G42">
        <v>97.79</v>
      </c>
      <c r="H42" t="s">
        <v>91</v>
      </c>
    </row>
    <row r="43" spans="1:8" x14ac:dyDescent="0.2">
      <c r="A43" t="s">
        <v>212</v>
      </c>
      <c r="B43" t="s">
        <v>149</v>
      </c>
      <c r="C43" t="s">
        <v>213</v>
      </c>
      <c r="D43" t="s">
        <v>214</v>
      </c>
      <c r="E43" t="s">
        <v>62</v>
      </c>
      <c r="F43" t="s">
        <v>215</v>
      </c>
      <c r="G43">
        <v>142.43</v>
      </c>
      <c r="H43" t="s">
        <v>64</v>
      </c>
    </row>
    <row r="44" spans="1:8" x14ac:dyDescent="0.2">
      <c r="A44" t="s">
        <v>216</v>
      </c>
      <c r="B44" t="s">
        <v>217</v>
      </c>
      <c r="C44" t="s">
        <v>218</v>
      </c>
      <c r="D44" t="s">
        <v>219</v>
      </c>
      <c r="E44" t="s">
        <v>62</v>
      </c>
      <c r="F44" t="s">
        <v>220</v>
      </c>
      <c r="G44">
        <v>270.66000000000003</v>
      </c>
      <c r="H44" t="s">
        <v>64</v>
      </c>
    </row>
    <row r="45" spans="1:8" x14ac:dyDescent="0.2">
      <c r="A45" t="s">
        <v>221</v>
      </c>
      <c r="B45" t="s">
        <v>118</v>
      </c>
      <c r="D45" t="s">
        <v>222</v>
      </c>
      <c r="E45" t="s">
        <v>69</v>
      </c>
      <c r="F45" t="s">
        <v>223</v>
      </c>
      <c r="G45">
        <v>26.07</v>
      </c>
      <c r="H45" t="s">
        <v>28</v>
      </c>
    </row>
    <row r="46" spans="1:8" x14ac:dyDescent="0.2">
      <c r="A46" t="s">
        <v>224</v>
      </c>
      <c r="B46" t="s">
        <v>118</v>
      </c>
      <c r="C46" t="s">
        <v>225</v>
      </c>
      <c r="D46" t="s">
        <v>226</v>
      </c>
      <c r="E46" t="s">
        <v>50</v>
      </c>
      <c r="F46" t="s">
        <v>227</v>
      </c>
      <c r="G46">
        <v>264.95999999999998</v>
      </c>
      <c r="H46" t="s">
        <v>21</v>
      </c>
    </row>
    <row r="47" spans="1:8" x14ac:dyDescent="0.2">
      <c r="A47" t="s">
        <v>228</v>
      </c>
      <c r="B47" t="s">
        <v>229</v>
      </c>
      <c r="C47" t="s">
        <v>230</v>
      </c>
      <c r="D47" t="s">
        <v>231</v>
      </c>
      <c r="E47" t="s">
        <v>45</v>
      </c>
      <c r="F47" t="s">
        <v>232</v>
      </c>
      <c r="G47">
        <v>228.4</v>
      </c>
      <c r="H47" t="s">
        <v>21</v>
      </c>
    </row>
    <row r="48" spans="1:8" x14ac:dyDescent="0.2">
      <c r="A48" t="s">
        <v>233</v>
      </c>
      <c r="B48" t="s">
        <v>234</v>
      </c>
      <c r="C48" t="s">
        <v>235</v>
      </c>
      <c r="D48" t="s">
        <v>236</v>
      </c>
      <c r="E48" t="s">
        <v>50</v>
      </c>
      <c r="F48" t="s">
        <v>237</v>
      </c>
      <c r="G48">
        <v>140.69</v>
      </c>
      <c r="H48" t="s">
        <v>176</v>
      </c>
    </row>
    <row r="49" spans="1:8" x14ac:dyDescent="0.2">
      <c r="A49" t="s">
        <v>238</v>
      </c>
      <c r="B49" t="s">
        <v>239</v>
      </c>
      <c r="C49" t="s">
        <v>240</v>
      </c>
      <c r="D49" t="s">
        <v>241</v>
      </c>
      <c r="E49" t="s">
        <v>12</v>
      </c>
      <c r="F49" t="s">
        <v>242</v>
      </c>
      <c r="G49">
        <v>95.97</v>
      </c>
      <c r="H49" t="s">
        <v>243</v>
      </c>
    </row>
    <row r="50" spans="1:8" x14ac:dyDescent="0.2">
      <c r="A50" t="s">
        <v>244</v>
      </c>
      <c r="B50" t="s">
        <v>245</v>
      </c>
      <c r="C50" t="s">
        <v>246</v>
      </c>
      <c r="D50" t="s">
        <v>247</v>
      </c>
      <c r="E50" t="s">
        <v>248</v>
      </c>
      <c r="F50" t="s">
        <v>249</v>
      </c>
      <c r="G50">
        <v>22.87</v>
      </c>
      <c r="H50" t="s">
        <v>28</v>
      </c>
    </row>
    <row r="51" spans="1:8" x14ac:dyDescent="0.2">
      <c r="A51" t="s">
        <v>250</v>
      </c>
      <c r="B51" t="s">
        <v>36</v>
      </c>
      <c r="C51" t="s">
        <v>251</v>
      </c>
      <c r="D51" t="s">
        <v>252</v>
      </c>
      <c r="E51" t="s">
        <v>12</v>
      </c>
      <c r="F51" t="s">
        <v>253</v>
      </c>
      <c r="G51">
        <v>226.45</v>
      </c>
      <c r="H51" t="s">
        <v>28</v>
      </c>
    </row>
    <row r="52" spans="1:8" x14ac:dyDescent="0.2">
      <c r="A52" t="s">
        <v>254</v>
      </c>
      <c r="B52" t="s">
        <v>255</v>
      </c>
      <c r="C52" t="s">
        <v>256</v>
      </c>
      <c r="D52" t="s">
        <v>257</v>
      </c>
      <c r="E52" t="s">
        <v>33</v>
      </c>
      <c r="F52" t="s">
        <v>258</v>
      </c>
      <c r="G52">
        <v>254.93</v>
      </c>
      <c r="H52" t="s">
        <v>14</v>
      </c>
    </row>
    <row r="53" spans="1:8" x14ac:dyDescent="0.2">
      <c r="A53" t="s">
        <v>259</v>
      </c>
      <c r="B53" t="s">
        <v>260</v>
      </c>
      <c r="C53" t="s">
        <v>261</v>
      </c>
      <c r="D53" t="s">
        <v>262</v>
      </c>
      <c r="E53" t="s">
        <v>12</v>
      </c>
      <c r="F53" t="s">
        <v>263</v>
      </c>
      <c r="G53">
        <v>278.62</v>
      </c>
      <c r="H53" t="s">
        <v>14</v>
      </c>
    </row>
    <row r="54" spans="1:8" x14ac:dyDescent="0.2">
      <c r="A54" t="s">
        <v>47</v>
      </c>
      <c r="B54" t="s">
        <v>48</v>
      </c>
      <c r="D54" t="s">
        <v>49</v>
      </c>
      <c r="E54" t="s">
        <v>50</v>
      </c>
      <c r="F54" t="s">
        <v>51</v>
      </c>
      <c r="G54">
        <v>116.07</v>
      </c>
      <c r="H54" t="s">
        <v>21</v>
      </c>
    </row>
    <row r="55" spans="1:8" x14ac:dyDescent="0.2">
      <c r="A55" t="s">
        <v>264</v>
      </c>
      <c r="B55" t="s">
        <v>203</v>
      </c>
      <c r="C55" t="s">
        <v>265</v>
      </c>
      <c r="D55" t="s">
        <v>266</v>
      </c>
      <c r="E55" t="s">
        <v>190</v>
      </c>
      <c r="F55" t="s">
        <v>267</v>
      </c>
      <c r="G55">
        <v>18.149999999999999</v>
      </c>
      <c r="H55" t="s">
        <v>91</v>
      </c>
    </row>
    <row r="56" spans="1:8" x14ac:dyDescent="0.2">
      <c r="A56" t="s">
        <v>268</v>
      </c>
      <c r="B56" t="s">
        <v>269</v>
      </c>
      <c r="C56" t="s">
        <v>270</v>
      </c>
      <c r="D56" t="s">
        <v>271</v>
      </c>
      <c r="E56" t="s">
        <v>50</v>
      </c>
      <c r="F56" t="s">
        <v>272</v>
      </c>
      <c r="G56">
        <v>221.76</v>
      </c>
      <c r="H56" t="s">
        <v>142</v>
      </c>
    </row>
    <row r="57" spans="1:8" x14ac:dyDescent="0.2">
      <c r="A57" t="s">
        <v>273</v>
      </c>
      <c r="B57" t="s">
        <v>274</v>
      </c>
      <c r="C57" t="s">
        <v>275</v>
      </c>
      <c r="D57" t="s">
        <v>276</v>
      </c>
      <c r="E57" t="s">
        <v>45</v>
      </c>
      <c r="F57" t="s">
        <v>277</v>
      </c>
      <c r="G57">
        <v>30.52</v>
      </c>
      <c r="H57" t="s">
        <v>14</v>
      </c>
    </row>
    <row r="58" spans="1:8" x14ac:dyDescent="0.2">
      <c r="A58" t="s">
        <v>278</v>
      </c>
      <c r="B58" t="s">
        <v>279</v>
      </c>
      <c r="C58" t="s">
        <v>280</v>
      </c>
      <c r="D58" t="s">
        <v>281</v>
      </c>
      <c r="E58" t="s">
        <v>12</v>
      </c>
      <c r="F58" t="s">
        <v>282</v>
      </c>
      <c r="G58">
        <v>157.88</v>
      </c>
      <c r="H58" t="s">
        <v>176</v>
      </c>
    </row>
    <row r="59" spans="1:8" x14ac:dyDescent="0.2">
      <c r="A59" t="s">
        <v>283</v>
      </c>
      <c r="B59" t="s">
        <v>284</v>
      </c>
      <c r="C59" t="s">
        <v>285</v>
      </c>
      <c r="D59" t="s">
        <v>286</v>
      </c>
      <c r="E59" t="s">
        <v>33</v>
      </c>
      <c r="F59" t="s">
        <v>287</v>
      </c>
      <c r="G59">
        <v>215.12</v>
      </c>
      <c r="H59" t="s">
        <v>21</v>
      </c>
    </row>
    <row r="60" spans="1:8" x14ac:dyDescent="0.2">
      <c r="A60" t="s">
        <v>288</v>
      </c>
      <c r="B60" t="s">
        <v>123</v>
      </c>
      <c r="C60" t="s">
        <v>289</v>
      </c>
      <c r="D60" t="s">
        <v>290</v>
      </c>
      <c r="E60" t="s">
        <v>45</v>
      </c>
      <c r="F60" t="s">
        <v>291</v>
      </c>
      <c r="G60">
        <v>138.97</v>
      </c>
      <c r="H60" t="s">
        <v>14</v>
      </c>
    </row>
    <row r="61" spans="1:8" x14ac:dyDescent="0.2">
      <c r="A61" t="s">
        <v>292</v>
      </c>
      <c r="B61" t="s">
        <v>293</v>
      </c>
      <c r="C61" t="s">
        <v>294</v>
      </c>
      <c r="D61" t="s">
        <v>295</v>
      </c>
      <c r="E61" t="s">
        <v>45</v>
      </c>
      <c r="F61" t="s">
        <v>296</v>
      </c>
      <c r="G61">
        <v>15.63</v>
      </c>
      <c r="H61" t="s">
        <v>21</v>
      </c>
    </row>
    <row r="62" spans="1:8" x14ac:dyDescent="0.2">
      <c r="A62" t="s">
        <v>297</v>
      </c>
      <c r="B62" t="s">
        <v>298</v>
      </c>
      <c r="C62" t="s">
        <v>299</v>
      </c>
      <c r="D62" t="s">
        <v>300</v>
      </c>
      <c r="E62" t="s">
        <v>62</v>
      </c>
      <c r="F62" t="s">
        <v>301</v>
      </c>
      <c r="H62" t="s">
        <v>28</v>
      </c>
    </row>
    <row r="63" spans="1:8" x14ac:dyDescent="0.2">
      <c r="A63" t="s">
        <v>302</v>
      </c>
      <c r="B63" t="s">
        <v>303</v>
      </c>
      <c r="C63" t="s">
        <v>304</v>
      </c>
      <c r="D63" t="s">
        <v>305</v>
      </c>
      <c r="E63" t="s">
        <v>50</v>
      </c>
      <c r="F63" t="s">
        <v>306</v>
      </c>
      <c r="G63">
        <v>236.5</v>
      </c>
      <c r="H63" t="s">
        <v>14</v>
      </c>
    </row>
    <row r="64" spans="1:8" x14ac:dyDescent="0.2">
      <c r="A64" t="s">
        <v>307</v>
      </c>
      <c r="B64" t="s">
        <v>98</v>
      </c>
      <c r="C64" t="s">
        <v>308</v>
      </c>
      <c r="D64" t="s">
        <v>309</v>
      </c>
      <c r="E64" t="s">
        <v>45</v>
      </c>
      <c r="F64" t="s">
        <v>310</v>
      </c>
      <c r="G64">
        <v>197.23</v>
      </c>
      <c r="H64" t="s">
        <v>21</v>
      </c>
    </row>
    <row r="65" spans="1:8" x14ac:dyDescent="0.2">
      <c r="A65" t="s">
        <v>311</v>
      </c>
      <c r="B65" t="s">
        <v>312</v>
      </c>
      <c r="C65" t="s">
        <v>313</v>
      </c>
      <c r="D65" t="s">
        <v>314</v>
      </c>
      <c r="E65" t="s">
        <v>12</v>
      </c>
      <c r="F65" t="s">
        <v>315</v>
      </c>
      <c r="G65">
        <v>341.31</v>
      </c>
      <c r="H65" t="s">
        <v>21</v>
      </c>
    </row>
    <row r="66" spans="1:8" x14ac:dyDescent="0.2">
      <c r="A66" t="s">
        <v>316</v>
      </c>
      <c r="B66" t="s">
        <v>317</v>
      </c>
      <c r="C66" t="s">
        <v>318</v>
      </c>
      <c r="D66" t="s">
        <v>319</v>
      </c>
      <c r="E66" t="s">
        <v>26</v>
      </c>
      <c r="F66" t="s">
        <v>320</v>
      </c>
      <c r="G66">
        <v>210.43</v>
      </c>
      <c r="H66" t="s">
        <v>14</v>
      </c>
    </row>
    <row r="67" spans="1:8" x14ac:dyDescent="0.2">
      <c r="A67" t="s">
        <v>321</v>
      </c>
      <c r="B67" t="s">
        <v>322</v>
      </c>
      <c r="C67" t="s">
        <v>323</v>
      </c>
      <c r="D67" t="s">
        <v>324</v>
      </c>
      <c r="E67" t="s">
        <v>69</v>
      </c>
      <c r="F67" t="s">
        <v>325</v>
      </c>
      <c r="G67">
        <v>300.52999999999997</v>
      </c>
      <c r="H67" t="s">
        <v>91</v>
      </c>
    </row>
    <row r="68" spans="1:8" x14ac:dyDescent="0.2">
      <c r="A68" t="s">
        <v>326</v>
      </c>
      <c r="B68" t="s">
        <v>327</v>
      </c>
      <c r="C68" t="s">
        <v>328</v>
      </c>
      <c r="D68" t="s">
        <v>329</v>
      </c>
      <c r="E68" t="s">
        <v>56</v>
      </c>
      <c r="F68" t="s">
        <v>330</v>
      </c>
      <c r="G68">
        <v>162.11000000000001</v>
      </c>
      <c r="H68" t="s">
        <v>331</v>
      </c>
    </row>
    <row r="69" spans="1:8" x14ac:dyDescent="0.2">
      <c r="A69" t="s">
        <v>332</v>
      </c>
      <c r="B69" t="s">
        <v>333</v>
      </c>
      <c r="C69" t="s">
        <v>334</v>
      </c>
      <c r="D69" t="s">
        <v>335</v>
      </c>
      <c r="E69" t="s">
        <v>69</v>
      </c>
      <c r="F69" t="s">
        <v>336</v>
      </c>
      <c r="H69" t="s">
        <v>28</v>
      </c>
    </row>
    <row r="70" spans="1:8" x14ac:dyDescent="0.2">
      <c r="A70" t="s">
        <v>337</v>
      </c>
      <c r="B70" t="s">
        <v>338</v>
      </c>
      <c r="C70" t="s">
        <v>339</v>
      </c>
      <c r="D70" t="s">
        <v>340</v>
      </c>
      <c r="E70" t="s">
        <v>56</v>
      </c>
      <c r="F70" t="s">
        <v>341</v>
      </c>
      <c r="G70">
        <v>334.3</v>
      </c>
      <c r="H70" t="s">
        <v>28</v>
      </c>
    </row>
    <row r="71" spans="1:8" x14ac:dyDescent="0.2">
      <c r="A71" t="s">
        <v>342</v>
      </c>
      <c r="B71" t="s">
        <v>343</v>
      </c>
      <c r="C71" t="s">
        <v>344</v>
      </c>
      <c r="D71" t="s">
        <v>345</v>
      </c>
      <c r="E71" t="s">
        <v>190</v>
      </c>
      <c r="F71" t="s">
        <v>13</v>
      </c>
      <c r="G71">
        <v>148.49</v>
      </c>
      <c r="H71" t="s">
        <v>14</v>
      </c>
    </row>
    <row r="72" spans="1:8" x14ac:dyDescent="0.2">
      <c r="A72" t="s">
        <v>346</v>
      </c>
      <c r="B72" t="s">
        <v>347</v>
      </c>
      <c r="C72" t="s">
        <v>348</v>
      </c>
      <c r="D72" t="s">
        <v>349</v>
      </c>
      <c r="E72" t="s">
        <v>33</v>
      </c>
      <c r="F72" t="s">
        <v>350</v>
      </c>
      <c r="G72">
        <v>21.65</v>
      </c>
      <c r="H72" t="s">
        <v>91</v>
      </c>
    </row>
    <row r="73" spans="1:8" x14ac:dyDescent="0.2">
      <c r="A73" t="s">
        <v>351</v>
      </c>
      <c r="B73" t="s">
        <v>352</v>
      </c>
      <c r="C73" t="s">
        <v>353</v>
      </c>
      <c r="D73" t="s">
        <v>354</v>
      </c>
      <c r="E73" t="s">
        <v>12</v>
      </c>
      <c r="F73" t="s">
        <v>355</v>
      </c>
      <c r="G73">
        <v>145.30000000000001</v>
      </c>
      <c r="H73" t="s">
        <v>21</v>
      </c>
    </row>
    <row r="74" spans="1:8" x14ac:dyDescent="0.2">
      <c r="A74" t="s">
        <v>356</v>
      </c>
      <c r="B74" t="s">
        <v>357</v>
      </c>
      <c r="C74" t="s">
        <v>358</v>
      </c>
      <c r="D74" t="s">
        <v>359</v>
      </c>
      <c r="E74" t="s">
        <v>69</v>
      </c>
      <c r="F74" t="s">
        <v>301</v>
      </c>
      <c r="G74">
        <v>343.08</v>
      </c>
      <c r="H74" t="s">
        <v>28</v>
      </c>
    </row>
    <row r="75" spans="1:8" x14ac:dyDescent="0.2">
      <c r="A75" t="s">
        <v>360</v>
      </c>
      <c r="B75" t="s">
        <v>361</v>
      </c>
      <c r="D75" t="s">
        <v>362</v>
      </c>
      <c r="E75" t="s">
        <v>26</v>
      </c>
      <c r="F75" t="s">
        <v>363</v>
      </c>
      <c r="G75">
        <v>172.53</v>
      </c>
      <c r="H75" t="s">
        <v>28</v>
      </c>
    </row>
    <row r="76" spans="1:8" x14ac:dyDescent="0.2">
      <c r="A76" t="s">
        <v>364</v>
      </c>
      <c r="B76" t="s">
        <v>365</v>
      </c>
      <c r="C76" t="s">
        <v>366</v>
      </c>
      <c r="D76" t="s">
        <v>367</v>
      </c>
      <c r="E76" t="s">
        <v>56</v>
      </c>
      <c r="F76" t="s">
        <v>368</v>
      </c>
      <c r="G76">
        <v>124.27</v>
      </c>
      <c r="H76" t="s">
        <v>369</v>
      </c>
    </row>
    <row r="77" spans="1:8" x14ac:dyDescent="0.2">
      <c r="A77" t="s">
        <v>370</v>
      </c>
      <c r="B77" t="s">
        <v>303</v>
      </c>
      <c r="C77" t="s">
        <v>371</v>
      </c>
      <c r="D77" t="s">
        <v>372</v>
      </c>
      <c r="E77" t="s">
        <v>26</v>
      </c>
      <c r="F77" t="s">
        <v>373</v>
      </c>
      <c r="G77">
        <v>250.12</v>
      </c>
      <c r="H77" t="s">
        <v>28</v>
      </c>
    </row>
    <row r="78" spans="1:8" x14ac:dyDescent="0.2">
      <c r="A78" t="s">
        <v>374</v>
      </c>
      <c r="B78" t="s">
        <v>375</v>
      </c>
      <c r="C78" t="s">
        <v>376</v>
      </c>
      <c r="D78" t="s">
        <v>377</v>
      </c>
      <c r="E78" t="s">
        <v>378</v>
      </c>
      <c r="F78" t="s">
        <v>111</v>
      </c>
      <c r="G78">
        <v>62.18</v>
      </c>
      <c r="H78" t="s">
        <v>142</v>
      </c>
    </row>
    <row r="79" spans="1:8" x14ac:dyDescent="0.2">
      <c r="A79" t="s">
        <v>379</v>
      </c>
      <c r="B79" t="s">
        <v>380</v>
      </c>
      <c r="D79" t="s">
        <v>381</v>
      </c>
      <c r="E79" t="s">
        <v>45</v>
      </c>
      <c r="F79" t="s">
        <v>382</v>
      </c>
      <c r="G79">
        <v>208.35</v>
      </c>
      <c r="H79" t="s">
        <v>91</v>
      </c>
    </row>
    <row r="80" spans="1:8" x14ac:dyDescent="0.2">
      <c r="A80" t="s">
        <v>383</v>
      </c>
      <c r="B80" t="s">
        <v>384</v>
      </c>
      <c r="C80" t="s">
        <v>385</v>
      </c>
      <c r="D80" t="s">
        <v>386</v>
      </c>
      <c r="E80" t="s">
        <v>12</v>
      </c>
      <c r="F80" t="s">
        <v>387</v>
      </c>
      <c r="G80">
        <v>349.18</v>
      </c>
      <c r="H80" t="s">
        <v>14</v>
      </c>
    </row>
    <row r="81" spans="1:8" x14ac:dyDescent="0.2">
      <c r="A81" t="s">
        <v>388</v>
      </c>
      <c r="B81" t="s">
        <v>389</v>
      </c>
      <c r="C81" t="s">
        <v>390</v>
      </c>
      <c r="D81" t="s">
        <v>391</v>
      </c>
      <c r="E81" t="s">
        <v>392</v>
      </c>
      <c r="F81" t="s">
        <v>249</v>
      </c>
      <c r="G81">
        <v>30.98</v>
      </c>
      <c r="H81" t="s">
        <v>14</v>
      </c>
    </row>
    <row r="82" spans="1:8" x14ac:dyDescent="0.2">
      <c r="A82" t="s">
        <v>393</v>
      </c>
      <c r="B82" t="s">
        <v>338</v>
      </c>
      <c r="C82" t="s">
        <v>394</v>
      </c>
      <c r="D82" t="s">
        <v>395</v>
      </c>
      <c r="E82" t="s">
        <v>190</v>
      </c>
      <c r="F82" t="s">
        <v>396</v>
      </c>
      <c r="G82">
        <v>270.91000000000003</v>
      </c>
      <c r="H82" t="s">
        <v>14</v>
      </c>
    </row>
    <row r="83" spans="1:8" x14ac:dyDescent="0.2">
      <c r="A83" t="s">
        <v>397</v>
      </c>
      <c r="B83" t="s">
        <v>398</v>
      </c>
      <c r="C83" t="s">
        <v>399</v>
      </c>
      <c r="D83" t="s">
        <v>400</v>
      </c>
      <c r="E83" t="s">
        <v>401</v>
      </c>
      <c r="F83" t="s">
        <v>402</v>
      </c>
      <c r="G83">
        <v>136.22</v>
      </c>
      <c r="H83" t="s">
        <v>28</v>
      </c>
    </row>
    <row r="84" spans="1:8" x14ac:dyDescent="0.2">
      <c r="A84" t="s">
        <v>403</v>
      </c>
      <c r="B84" t="s">
        <v>404</v>
      </c>
      <c r="C84" t="s">
        <v>405</v>
      </c>
      <c r="D84" t="s">
        <v>406</v>
      </c>
      <c r="E84" t="s">
        <v>407</v>
      </c>
      <c r="F84" t="s">
        <v>408</v>
      </c>
      <c r="G84">
        <v>263.58</v>
      </c>
      <c r="H84" t="s">
        <v>91</v>
      </c>
    </row>
    <row r="85" spans="1:8" x14ac:dyDescent="0.2">
      <c r="A85" t="s">
        <v>409</v>
      </c>
      <c r="B85" t="s">
        <v>410</v>
      </c>
      <c r="C85" t="s">
        <v>411</v>
      </c>
      <c r="D85" t="s">
        <v>412</v>
      </c>
      <c r="E85" t="s">
        <v>62</v>
      </c>
      <c r="F85" t="s">
        <v>413</v>
      </c>
      <c r="G85">
        <v>244.37</v>
      </c>
      <c r="H85" t="s">
        <v>28</v>
      </c>
    </row>
    <row r="86" spans="1:8" x14ac:dyDescent="0.2">
      <c r="A86" t="s">
        <v>414</v>
      </c>
      <c r="B86" t="s">
        <v>415</v>
      </c>
      <c r="C86" t="s">
        <v>416</v>
      </c>
      <c r="D86" t="s">
        <v>417</v>
      </c>
      <c r="E86" t="s">
        <v>50</v>
      </c>
      <c r="F86" t="s">
        <v>418</v>
      </c>
      <c r="G86">
        <v>25.14</v>
      </c>
      <c r="H86" t="s">
        <v>21</v>
      </c>
    </row>
    <row r="87" spans="1:8" x14ac:dyDescent="0.2">
      <c r="A87" t="s">
        <v>419</v>
      </c>
      <c r="B87" t="s">
        <v>420</v>
      </c>
      <c r="C87" t="s">
        <v>421</v>
      </c>
      <c r="D87" t="s">
        <v>422</v>
      </c>
      <c r="E87" t="s">
        <v>50</v>
      </c>
      <c r="F87" t="s">
        <v>423</v>
      </c>
      <c r="G87">
        <v>194.28</v>
      </c>
      <c r="H87" t="s">
        <v>176</v>
      </c>
    </row>
    <row r="88" spans="1:8" x14ac:dyDescent="0.2">
      <c r="A88" t="s">
        <v>424</v>
      </c>
      <c r="B88" t="s">
        <v>425</v>
      </c>
      <c r="C88" t="s">
        <v>426</v>
      </c>
      <c r="D88" t="s">
        <v>427</v>
      </c>
      <c r="E88" t="s">
        <v>392</v>
      </c>
      <c r="F88" t="s">
        <v>428</v>
      </c>
      <c r="G88">
        <v>298.58</v>
      </c>
      <c r="H88" t="s">
        <v>21</v>
      </c>
    </row>
    <row r="89" spans="1:8" x14ac:dyDescent="0.2">
      <c r="A89" t="s">
        <v>429</v>
      </c>
      <c r="B89" t="s">
        <v>430</v>
      </c>
      <c r="C89" t="s">
        <v>431</v>
      </c>
      <c r="D89" t="s">
        <v>432</v>
      </c>
      <c r="E89" t="s">
        <v>69</v>
      </c>
      <c r="F89" t="s">
        <v>433</v>
      </c>
      <c r="G89">
        <v>276.56</v>
      </c>
      <c r="H89" t="s">
        <v>176</v>
      </c>
    </row>
    <row r="90" spans="1:8" x14ac:dyDescent="0.2">
      <c r="A90" t="s">
        <v>434</v>
      </c>
      <c r="B90" t="s">
        <v>66</v>
      </c>
      <c r="C90" t="s">
        <v>435</v>
      </c>
      <c r="D90" t="s">
        <v>436</v>
      </c>
      <c r="E90" t="s">
        <v>50</v>
      </c>
      <c r="F90" t="s">
        <v>75</v>
      </c>
      <c r="G90">
        <v>102.57</v>
      </c>
      <c r="H90" t="s">
        <v>21</v>
      </c>
    </row>
    <row r="91" spans="1:8" x14ac:dyDescent="0.2">
      <c r="A91" t="s">
        <v>172</v>
      </c>
      <c r="B91" t="s">
        <v>77</v>
      </c>
      <c r="C91" t="s">
        <v>173</v>
      </c>
      <c r="D91" t="s">
        <v>174</v>
      </c>
      <c r="E91" t="s">
        <v>50</v>
      </c>
      <c r="F91" t="s">
        <v>175</v>
      </c>
      <c r="G91">
        <v>116.32</v>
      </c>
      <c r="H91" t="s">
        <v>176</v>
      </c>
    </row>
    <row r="92" spans="1:8" x14ac:dyDescent="0.2">
      <c r="A92" t="s">
        <v>437</v>
      </c>
      <c r="B92" t="s">
        <v>438</v>
      </c>
      <c r="C92" t="s">
        <v>439</v>
      </c>
      <c r="D92" t="s">
        <v>440</v>
      </c>
      <c r="E92" t="s">
        <v>26</v>
      </c>
      <c r="F92" t="s">
        <v>441</v>
      </c>
      <c r="G92">
        <v>66.599999999999994</v>
      </c>
      <c r="H92" t="s">
        <v>369</v>
      </c>
    </row>
    <row r="93" spans="1:8" x14ac:dyDescent="0.2">
      <c r="A93" t="s">
        <v>442</v>
      </c>
      <c r="B93" t="s">
        <v>443</v>
      </c>
      <c r="C93" t="s">
        <v>444</v>
      </c>
      <c r="D93" t="s">
        <v>445</v>
      </c>
      <c r="E93" t="s">
        <v>69</v>
      </c>
      <c r="F93" t="s">
        <v>171</v>
      </c>
      <c r="G93">
        <v>20.5</v>
      </c>
      <c r="H93" t="s">
        <v>28</v>
      </c>
    </row>
    <row r="94" spans="1:8" x14ac:dyDescent="0.2">
      <c r="A94" t="s">
        <v>446</v>
      </c>
      <c r="B94" t="s">
        <v>430</v>
      </c>
      <c r="C94" t="s">
        <v>447</v>
      </c>
      <c r="D94" t="s">
        <v>448</v>
      </c>
      <c r="E94" t="s">
        <v>62</v>
      </c>
      <c r="F94" t="s">
        <v>449</v>
      </c>
      <c r="G94">
        <v>111.98</v>
      </c>
      <c r="H94" t="s">
        <v>28</v>
      </c>
    </row>
    <row r="95" spans="1:8" x14ac:dyDescent="0.2">
      <c r="A95" t="s">
        <v>186</v>
      </c>
      <c r="B95" t="s">
        <v>187</v>
      </c>
      <c r="C95" t="s">
        <v>188</v>
      </c>
      <c r="D95" t="s">
        <v>189</v>
      </c>
      <c r="E95" t="s">
        <v>190</v>
      </c>
      <c r="F95" t="s">
        <v>191</v>
      </c>
      <c r="G95">
        <v>60.02</v>
      </c>
      <c r="H95" t="s">
        <v>21</v>
      </c>
    </row>
    <row r="96" spans="1:8" x14ac:dyDescent="0.2">
      <c r="A96" t="s">
        <v>450</v>
      </c>
      <c r="B96" t="s">
        <v>451</v>
      </c>
      <c r="C96" t="s">
        <v>452</v>
      </c>
      <c r="D96" t="s">
        <v>453</v>
      </c>
      <c r="E96" t="s">
        <v>62</v>
      </c>
      <c r="F96" t="s">
        <v>454</v>
      </c>
      <c r="G96">
        <v>68.23</v>
      </c>
      <c r="H96" t="s">
        <v>21</v>
      </c>
    </row>
    <row r="97" spans="1:8" x14ac:dyDescent="0.2">
      <c r="A97" t="s">
        <v>455</v>
      </c>
      <c r="B97" t="s">
        <v>456</v>
      </c>
      <c r="C97" t="s">
        <v>457</v>
      </c>
      <c r="D97" t="s">
        <v>458</v>
      </c>
      <c r="E97" t="s">
        <v>190</v>
      </c>
      <c r="F97" t="s">
        <v>459</v>
      </c>
      <c r="G97">
        <v>305.63</v>
      </c>
      <c r="H97" t="s">
        <v>91</v>
      </c>
    </row>
    <row r="98" spans="1:8" x14ac:dyDescent="0.2">
      <c r="A98" t="s">
        <v>460</v>
      </c>
      <c r="B98" t="s">
        <v>293</v>
      </c>
      <c r="C98" t="s">
        <v>461</v>
      </c>
      <c r="D98" t="s">
        <v>462</v>
      </c>
      <c r="E98" t="s">
        <v>33</v>
      </c>
      <c r="F98" t="s">
        <v>463</v>
      </c>
      <c r="G98">
        <v>314.64</v>
      </c>
      <c r="H98" t="s">
        <v>14</v>
      </c>
    </row>
    <row r="99" spans="1:8" x14ac:dyDescent="0.2">
      <c r="A99" t="s">
        <v>464</v>
      </c>
      <c r="B99" t="s">
        <v>465</v>
      </c>
      <c r="C99" t="s">
        <v>466</v>
      </c>
      <c r="D99" t="s">
        <v>467</v>
      </c>
      <c r="E99" t="s">
        <v>62</v>
      </c>
      <c r="F99" t="s">
        <v>363</v>
      </c>
      <c r="G99">
        <v>309.19</v>
      </c>
      <c r="H99" t="s">
        <v>28</v>
      </c>
    </row>
    <row r="100" spans="1:8" x14ac:dyDescent="0.2">
      <c r="A100" t="s">
        <v>468</v>
      </c>
      <c r="B100" t="s">
        <v>163</v>
      </c>
      <c r="C100" t="s">
        <v>469</v>
      </c>
      <c r="D100" t="s">
        <v>470</v>
      </c>
      <c r="E100" t="s">
        <v>69</v>
      </c>
      <c r="F100" t="s">
        <v>471</v>
      </c>
      <c r="G100">
        <v>169</v>
      </c>
      <c r="H100" t="s">
        <v>91</v>
      </c>
    </row>
    <row r="101" spans="1:8" x14ac:dyDescent="0.2">
      <c r="A101" t="s">
        <v>472</v>
      </c>
      <c r="B101" t="s">
        <v>473</v>
      </c>
      <c r="C101" t="s">
        <v>474</v>
      </c>
      <c r="D101" t="s">
        <v>475</v>
      </c>
      <c r="E101" t="s">
        <v>69</v>
      </c>
      <c r="F101" t="s">
        <v>476</v>
      </c>
      <c r="G101">
        <v>304.68</v>
      </c>
      <c r="H101" t="s">
        <v>64</v>
      </c>
    </row>
    <row r="102" spans="1:8" x14ac:dyDescent="0.2">
      <c r="A102" t="s">
        <v>477</v>
      </c>
      <c r="B102" t="s">
        <v>312</v>
      </c>
      <c r="C102" t="s">
        <v>478</v>
      </c>
      <c r="D102" t="s">
        <v>479</v>
      </c>
      <c r="E102" t="s">
        <v>26</v>
      </c>
      <c r="F102" t="s">
        <v>480</v>
      </c>
      <c r="G102">
        <v>337.76</v>
      </c>
      <c r="H102" t="s">
        <v>28</v>
      </c>
    </row>
    <row r="103" spans="1:8" x14ac:dyDescent="0.2">
      <c r="A103" t="s">
        <v>481</v>
      </c>
      <c r="B103" t="s">
        <v>482</v>
      </c>
      <c r="C103" t="s">
        <v>483</v>
      </c>
      <c r="D103" t="s">
        <v>484</v>
      </c>
      <c r="E103" t="s">
        <v>45</v>
      </c>
      <c r="F103" t="s">
        <v>485</v>
      </c>
      <c r="G103">
        <v>120.47</v>
      </c>
      <c r="H103" t="s">
        <v>28</v>
      </c>
    </row>
    <row r="104" spans="1:8" x14ac:dyDescent="0.2">
      <c r="A104" t="s">
        <v>486</v>
      </c>
      <c r="B104" t="s">
        <v>487</v>
      </c>
      <c r="C104" t="s">
        <v>488</v>
      </c>
      <c r="D104" t="s">
        <v>489</v>
      </c>
      <c r="E104" t="s">
        <v>33</v>
      </c>
      <c r="F104" t="s">
        <v>490</v>
      </c>
      <c r="G104">
        <v>309.2</v>
      </c>
      <c r="H104" t="s">
        <v>91</v>
      </c>
    </row>
    <row r="105" spans="1:8" x14ac:dyDescent="0.2">
      <c r="A105" t="s">
        <v>491</v>
      </c>
      <c r="B105" t="s">
        <v>492</v>
      </c>
      <c r="C105" t="s">
        <v>493</v>
      </c>
      <c r="D105" t="s">
        <v>494</v>
      </c>
      <c r="E105" t="s">
        <v>495</v>
      </c>
      <c r="F105" t="s">
        <v>496</v>
      </c>
      <c r="G105">
        <v>172.95</v>
      </c>
      <c r="H105" t="s">
        <v>21</v>
      </c>
    </row>
    <row r="106" spans="1:8" x14ac:dyDescent="0.2">
      <c r="A106" t="s">
        <v>497</v>
      </c>
      <c r="B106" t="s">
        <v>498</v>
      </c>
      <c r="C106" t="s">
        <v>499</v>
      </c>
      <c r="D106" t="s">
        <v>500</v>
      </c>
      <c r="E106" t="s">
        <v>45</v>
      </c>
      <c r="F106" t="s">
        <v>501</v>
      </c>
      <c r="G106">
        <v>307.2</v>
      </c>
      <c r="H106" t="s">
        <v>28</v>
      </c>
    </row>
    <row r="107" spans="1:8" x14ac:dyDescent="0.2">
      <c r="A107" t="s">
        <v>502</v>
      </c>
      <c r="B107" t="s">
        <v>503</v>
      </c>
      <c r="C107" t="s">
        <v>504</v>
      </c>
      <c r="D107" t="s">
        <v>505</v>
      </c>
      <c r="E107" t="s">
        <v>50</v>
      </c>
      <c r="F107" t="s">
        <v>506</v>
      </c>
      <c r="G107">
        <v>116.35</v>
      </c>
      <c r="H107" t="s">
        <v>64</v>
      </c>
    </row>
    <row r="108" spans="1:8" x14ac:dyDescent="0.2">
      <c r="A108" t="s">
        <v>507</v>
      </c>
      <c r="B108" t="s">
        <v>508</v>
      </c>
      <c r="C108" t="s">
        <v>509</v>
      </c>
      <c r="D108" t="s">
        <v>510</v>
      </c>
      <c r="E108" t="s">
        <v>33</v>
      </c>
      <c r="F108" t="s">
        <v>355</v>
      </c>
      <c r="G108">
        <v>273.75</v>
      </c>
      <c r="H108" t="s">
        <v>91</v>
      </c>
    </row>
    <row r="109" spans="1:8" x14ac:dyDescent="0.2">
      <c r="A109" t="s">
        <v>511</v>
      </c>
      <c r="B109" t="s">
        <v>512</v>
      </c>
      <c r="C109" t="s">
        <v>513</v>
      </c>
      <c r="D109" t="s">
        <v>514</v>
      </c>
      <c r="E109" t="s">
        <v>56</v>
      </c>
      <c r="F109" t="s">
        <v>51</v>
      </c>
      <c r="G109">
        <v>287.64999999999998</v>
      </c>
      <c r="H109" t="s">
        <v>28</v>
      </c>
    </row>
    <row r="110" spans="1:8" x14ac:dyDescent="0.2">
      <c r="A110" t="s">
        <v>167</v>
      </c>
      <c r="B110" t="s">
        <v>168</v>
      </c>
      <c r="C110" t="s">
        <v>169</v>
      </c>
      <c r="D110" t="s">
        <v>170</v>
      </c>
      <c r="E110" t="s">
        <v>50</v>
      </c>
      <c r="F110" t="s">
        <v>171</v>
      </c>
      <c r="G110">
        <v>139.19</v>
      </c>
      <c r="H110" t="s">
        <v>28</v>
      </c>
    </row>
    <row r="111" spans="1:8" x14ac:dyDescent="0.2">
      <c r="A111" t="s">
        <v>515</v>
      </c>
      <c r="B111" t="s">
        <v>516</v>
      </c>
      <c r="C111" t="s">
        <v>517</v>
      </c>
      <c r="D111" t="s">
        <v>518</v>
      </c>
      <c r="E111" t="s">
        <v>62</v>
      </c>
      <c r="F111" t="s">
        <v>519</v>
      </c>
      <c r="G111">
        <v>342.52</v>
      </c>
      <c r="H111" t="s">
        <v>14</v>
      </c>
    </row>
    <row r="112" spans="1:8" x14ac:dyDescent="0.2">
      <c r="A112" t="s">
        <v>520</v>
      </c>
      <c r="B112" t="s">
        <v>521</v>
      </c>
      <c r="C112" t="s">
        <v>522</v>
      </c>
      <c r="D112" t="s">
        <v>523</v>
      </c>
      <c r="E112" t="s">
        <v>45</v>
      </c>
      <c r="F112" t="s">
        <v>524</v>
      </c>
      <c r="G112">
        <v>335.25</v>
      </c>
      <c r="H112" t="s">
        <v>21</v>
      </c>
    </row>
    <row r="113" spans="1:8" x14ac:dyDescent="0.2">
      <c r="A113" t="s">
        <v>97</v>
      </c>
      <c r="B113" t="s">
        <v>98</v>
      </c>
      <c r="C113" t="s">
        <v>99</v>
      </c>
      <c r="D113" t="s">
        <v>100</v>
      </c>
      <c r="E113" t="s">
        <v>45</v>
      </c>
      <c r="F113" t="s">
        <v>101</v>
      </c>
      <c r="G113">
        <v>123.49</v>
      </c>
      <c r="H113" t="s">
        <v>91</v>
      </c>
    </row>
    <row r="114" spans="1:8" x14ac:dyDescent="0.2">
      <c r="A114" t="s">
        <v>525</v>
      </c>
      <c r="B114" t="s">
        <v>269</v>
      </c>
      <c r="D114" t="s">
        <v>526</v>
      </c>
      <c r="E114" t="s">
        <v>62</v>
      </c>
      <c r="F114" t="s">
        <v>527</v>
      </c>
      <c r="G114">
        <v>144.68</v>
      </c>
      <c r="H114" t="s">
        <v>14</v>
      </c>
    </row>
    <row r="115" spans="1:8" x14ac:dyDescent="0.2">
      <c r="A115" t="s">
        <v>528</v>
      </c>
      <c r="B115" t="s">
        <v>529</v>
      </c>
      <c r="C115" t="s">
        <v>530</v>
      </c>
      <c r="D115" t="s">
        <v>531</v>
      </c>
      <c r="E115" t="s">
        <v>62</v>
      </c>
      <c r="F115" t="s">
        <v>532</v>
      </c>
      <c r="H115" t="s">
        <v>14</v>
      </c>
    </row>
    <row r="116" spans="1:8" x14ac:dyDescent="0.2">
      <c r="A116" t="s">
        <v>533</v>
      </c>
      <c r="B116" t="s">
        <v>534</v>
      </c>
      <c r="C116" t="s">
        <v>535</v>
      </c>
      <c r="D116" t="s">
        <v>536</v>
      </c>
      <c r="E116" t="s">
        <v>26</v>
      </c>
      <c r="F116" t="s">
        <v>537</v>
      </c>
      <c r="G116">
        <v>316.77999999999997</v>
      </c>
      <c r="H116" t="s">
        <v>21</v>
      </c>
    </row>
    <row r="117" spans="1:8" x14ac:dyDescent="0.2">
      <c r="A117" t="s">
        <v>538</v>
      </c>
      <c r="B117" t="s">
        <v>539</v>
      </c>
      <c r="C117" t="s">
        <v>540</v>
      </c>
      <c r="D117" t="s">
        <v>541</v>
      </c>
      <c r="E117" t="s">
        <v>62</v>
      </c>
      <c r="F117" t="s">
        <v>471</v>
      </c>
      <c r="G117">
        <v>75.22</v>
      </c>
      <c r="H117" t="s">
        <v>91</v>
      </c>
    </row>
    <row r="118" spans="1:8" x14ac:dyDescent="0.2">
      <c r="A118" t="s">
        <v>542</v>
      </c>
      <c r="B118" t="s">
        <v>543</v>
      </c>
      <c r="D118" t="s">
        <v>544</v>
      </c>
      <c r="E118" t="s">
        <v>33</v>
      </c>
      <c r="F118" t="s">
        <v>545</v>
      </c>
      <c r="G118">
        <v>294.05</v>
      </c>
      <c r="H118" t="s">
        <v>28</v>
      </c>
    </row>
    <row r="119" spans="1:8" x14ac:dyDescent="0.2">
      <c r="A119" t="s">
        <v>546</v>
      </c>
      <c r="B119" t="s">
        <v>48</v>
      </c>
      <c r="C119" t="s">
        <v>547</v>
      </c>
      <c r="D119" t="s">
        <v>548</v>
      </c>
      <c r="E119" t="s">
        <v>62</v>
      </c>
      <c r="F119" t="s">
        <v>549</v>
      </c>
      <c r="G119">
        <v>126.71</v>
      </c>
      <c r="H119" t="s">
        <v>14</v>
      </c>
    </row>
    <row r="120" spans="1:8" x14ac:dyDescent="0.2">
      <c r="A120" t="s">
        <v>550</v>
      </c>
      <c r="B120" t="s">
        <v>217</v>
      </c>
      <c r="C120" t="s">
        <v>551</v>
      </c>
      <c r="D120" t="s">
        <v>552</v>
      </c>
      <c r="E120" t="s">
        <v>69</v>
      </c>
      <c r="F120" t="s">
        <v>553</v>
      </c>
      <c r="G120">
        <v>138.94999999999999</v>
      </c>
      <c r="H120" t="s">
        <v>21</v>
      </c>
    </row>
    <row r="121" spans="1:8" x14ac:dyDescent="0.2">
      <c r="A121" t="s">
        <v>554</v>
      </c>
      <c r="B121" t="s">
        <v>555</v>
      </c>
      <c r="C121" t="s">
        <v>556</v>
      </c>
      <c r="D121" t="s">
        <v>557</v>
      </c>
      <c r="E121" t="s">
        <v>26</v>
      </c>
      <c r="F121" t="s">
        <v>558</v>
      </c>
      <c r="G121">
        <v>109.93</v>
      </c>
      <c r="H121" t="s">
        <v>28</v>
      </c>
    </row>
    <row r="122" spans="1:8" x14ac:dyDescent="0.2">
      <c r="A122" t="s">
        <v>559</v>
      </c>
      <c r="B122" t="s">
        <v>178</v>
      </c>
      <c r="C122" t="s">
        <v>560</v>
      </c>
      <c r="D122" t="s">
        <v>561</v>
      </c>
      <c r="E122" t="s">
        <v>50</v>
      </c>
      <c r="F122" t="s">
        <v>562</v>
      </c>
      <c r="G122">
        <v>334.37</v>
      </c>
      <c r="H122" t="s">
        <v>331</v>
      </c>
    </row>
    <row r="123" spans="1:8" x14ac:dyDescent="0.2">
      <c r="A123" t="s">
        <v>563</v>
      </c>
      <c r="B123" t="s">
        <v>361</v>
      </c>
      <c r="C123" t="s">
        <v>564</v>
      </c>
      <c r="D123" t="s">
        <v>565</v>
      </c>
      <c r="E123" t="s">
        <v>50</v>
      </c>
      <c r="F123" t="s">
        <v>566</v>
      </c>
      <c r="G123">
        <v>292.79000000000002</v>
      </c>
      <c r="H123" t="s">
        <v>28</v>
      </c>
    </row>
    <row r="124" spans="1:8" x14ac:dyDescent="0.2">
      <c r="A124" t="s">
        <v>567</v>
      </c>
      <c r="B124" t="s">
        <v>410</v>
      </c>
      <c r="C124" t="s">
        <v>568</v>
      </c>
      <c r="D124" t="s">
        <v>569</v>
      </c>
      <c r="E124" t="s">
        <v>62</v>
      </c>
      <c r="F124" t="s">
        <v>570</v>
      </c>
      <c r="G124">
        <v>283.16000000000003</v>
      </c>
      <c r="H124" t="s">
        <v>28</v>
      </c>
    </row>
    <row r="125" spans="1:8" x14ac:dyDescent="0.2">
      <c r="A125" t="s">
        <v>571</v>
      </c>
      <c r="B125" t="s">
        <v>572</v>
      </c>
      <c r="C125" t="s">
        <v>573</v>
      </c>
      <c r="D125" t="s">
        <v>574</v>
      </c>
      <c r="E125" t="s">
        <v>62</v>
      </c>
      <c r="F125" t="s">
        <v>575</v>
      </c>
      <c r="G125">
        <v>39.82</v>
      </c>
      <c r="H125" t="s">
        <v>21</v>
      </c>
    </row>
    <row r="126" spans="1:8" x14ac:dyDescent="0.2">
      <c r="A126" t="s">
        <v>576</v>
      </c>
      <c r="B126" t="s">
        <v>577</v>
      </c>
      <c r="C126" t="s">
        <v>578</v>
      </c>
      <c r="D126" t="s">
        <v>579</v>
      </c>
      <c r="E126" t="s">
        <v>33</v>
      </c>
      <c r="F126" t="s">
        <v>141</v>
      </c>
      <c r="G126">
        <v>85.82</v>
      </c>
      <c r="H126" t="s">
        <v>176</v>
      </c>
    </row>
    <row r="127" spans="1:8" x14ac:dyDescent="0.2">
      <c r="A127" t="s">
        <v>580</v>
      </c>
      <c r="B127" t="s">
        <v>581</v>
      </c>
      <c r="C127" t="s">
        <v>582</v>
      </c>
      <c r="D127" t="s">
        <v>583</v>
      </c>
      <c r="E127" t="s">
        <v>392</v>
      </c>
      <c r="F127" t="s">
        <v>418</v>
      </c>
      <c r="G127">
        <v>18.899999999999999</v>
      </c>
      <c r="H127" t="s">
        <v>91</v>
      </c>
    </row>
    <row r="128" spans="1:8" x14ac:dyDescent="0.2">
      <c r="A128" t="s">
        <v>326</v>
      </c>
      <c r="B128" t="s">
        <v>327</v>
      </c>
      <c r="C128" t="s">
        <v>328</v>
      </c>
      <c r="D128" t="s">
        <v>329</v>
      </c>
      <c r="E128" t="s">
        <v>56</v>
      </c>
      <c r="F128" t="s">
        <v>330</v>
      </c>
      <c r="G128">
        <v>162.11000000000001</v>
      </c>
      <c r="H128" t="s">
        <v>331</v>
      </c>
    </row>
    <row r="129" spans="1:8" x14ac:dyDescent="0.2">
      <c r="A129" t="s">
        <v>584</v>
      </c>
      <c r="B129" t="s">
        <v>77</v>
      </c>
      <c r="C129" t="s">
        <v>585</v>
      </c>
      <c r="D129" t="s">
        <v>586</v>
      </c>
      <c r="E129" t="s">
        <v>12</v>
      </c>
      <c r="F129" t="s">
        <v>587</v>
      </c>
      <c r="G129">
        <v>37.28</v>
      </c>
      <c r="H129" t="s">
        <v>91</v>
      </c>
    </row>
    <row r="130" spans="1:8" x14ac:dyDescent="0.2">
      <c r="A130" t="s">
        <v>588</v>
      </c>
      <c r="B130" t="s">
        <v>193</v>
      </c>
      <c r="C130" t="s">
        <v>589</v>
      </c>
      <c r="D130" t="s">
        <v>590</v>
      </c>
      <c r="E130" t="s">
        <v>50</v>
      </c>
      <c r="F130" t="s">
        <v>591</v>
      </c>
      <c r="G130">
        <v>222.88</v>
      </c>
      <c r="H130" t="s">
        <v>28</v>
      </c>
    </row>
    <row r="131" spans="1:8" x14ac:dyDescent="0.2">
      <c r="A131" t="s">
        <v>592</v>
      </c>
      <c r="B131" t="s">
        <v>593</v>
      </c>
      <c r="C131" t="s">
        <v>594</v>
      </c>
      <c r="D131" t="s">
        <v>595</v>
      </c>
      <c r="E131" t="s">
        <v>69</v>
      </c>
      <c r="F131" t="s">
        <v>70</v>
      </c>
      <c r="G131">
        <v>243.76</v>
      </c>
      <c r="H131" t="s">
        <v>91</v>
      </c>
    </row>
    <row r="132" spans="1:8" x14ac:dyDescent="0.2">
      <c r="A132" t="s">
        <v>596</v>
      </c>
      <c r="B132" t="s">
        <v>597</v>
      </c>
      <c r="C132" t="s">
        <v>598</v>
      </c>
      <c r="D132" t="s">
        <v>599</v>
      </c>
      <c r="E132" t="s">
        <v>50</v>
      </c>
      <c r="F132" t="s">
        <v>600</v>
      </c>
      <c r="G132">
        <v>243.93</v>
      </c>
      <c r="H132" t="s">
        <v>91</v>
      </c>
    </row>
    <row r="133" spans="1:8" x14ac:dyDescent="0.2">
      <c r="A133" t="s">
        <v>283</v>
      </c>
      <c r="B133" t="s">
        <v>284</v>
      </c>
      <c r="C133" t="s">
        <v>285</v>
      </c>
      <c r="D133" t="s">
        <v>286</v>
      </c>
      <c r="E133" t="s">
        <v>33</v>
      </c>
      <c r="F133" t="s">
        <v>287</v>
      </c>
      <c r="G133">
        <v>215.12</v>
      </c>
      <c r="H133" t="s">
        <v>21</v>
      </c>
    </row>
    <row r="134" spans="1:8" x14ac:dyDescent="0.2">
      <c r="A134" t="s">
        <v>601</v>
      </c>
      <c r="B134" t="s">
        <v>602</v>
      </c>
      <c r="C134" t="s">
        <v>603</v>
      </c>
      <c r="D134" t="s">
        <v>604</v>
      </c>
      <c r="E134" t="s">
        <v>45</v>
      </c>
      <c r="F134" t="s">
        <v>605</v>
      </c>
      <c r="G134">
        <v>345.33</v>
      </c>
      <c r="H134" t="s">
        <v>91</v>
      </c>
    </row>
    <row r="135" spans="1:8" x14ac:dyDescent="0.2">
      <c r="A135" t="s">
        <v>606</v>
      </c>
      <c r="B135" t="s">
        <v>123</v>
      </c>
      <c r="C135" t="s">
        <v>607</v>
      </c>
      <c r="D135" t="s">
        <v>608</v>
      </c>
      <c r="E135" t="s">
        <v>26</v>
      </c>
      <c r="F135" t="s">
        <v>263</v>
      </c>
      <c r="G135">
        <v>181.68</v>
      </c>
      <c r="H135" t="s">
        <v>609</v>
      </c>
    </row>
    <row r="136" spans="1:8" x14ac:dyDescent="0.2">
      <c r="A136" t="s">
        <v>610</v>
      </c>
      <c r="B136" t="s">
        <v>611</v>
      </c>
      <c r="C136" t="s">
        <v>612</v>
      </c>
      <c r="D136" t="s">
        <v>613</v>
      </c>
      <c r="E136" t="s">
        <v>62</v>
      </c>
      <c r="F136" t="s">
        <v>614</v>
      </c>
      <c r="G136">
        <v>153.69</v>
      </c>
      <c r="H136" t="s">
        <v>127</v>
      </c>
    </row>
    <row r="137" spans="1:8" x14ac:dyDescent="0.2">
      <c r="A137" t="s">
        <v>615</v>
      </c>
      <c r="B137" t="s">
        <v>616</v>
      </c>
      <c r="C137" t="s">
        <v>617</v>
      </c>
      <c r="D137" t="s">
        <v>618</v>
      </c>
      <c r="E137" t="s">
        <v>190</v>
      </c>
      <c r="F137" t="s">
        <v>619</v>
      </c>
      <c r="G137">
        <v>148.81</v>
      </c>
      <c r="H137" t="s">
        <v>21</v>
      </c>
    </row>
    <row r="138" spans="1:8" x14ac:dyDescent="0.2">
      <c r="A138" t="s">
        <v>620</v>
      </c>
      <c r="B138" t="s">
        <v>163</v>
      </c>
      <c r="C138" t="s">
        <v>621</v>
      </c>
      <c r="D138" t="s">
        <v>622</v>
      </c>
      <c r="E138" t="s">
        <v>26</v>
      </c>
      <c r="F138" t="s">
        <v>623</v>
      </c>
      <c r="G138">
        <v>150.02000000000001</v>
      </c>
      <c r="H138" t="s">
        <v>14</v>
      </c>
    </row>
    <row r="139" spans="1:8" x14ac:dyDescent="0.2">
      <c r="A139" t="s">
        <v>624</v>
      </c>
      <c r="B139" t="s">
        <v>625</v>
      </c>
      <c r="C139" t="s">
        <v>626</v>
      </c>
      <c r="D139" t="s">
        <v>627</v>
      </c>
      <c r="E139" t="s">
        <v>62</v>
      </c>
      <c r="F139" t="s">
        <v>527</v>
      </c>
      <c r="G139">
        <v>198.96</v>
      </c>
      <c r="H139" t="s">
        <v>21</v>
      </c>
    </row>
    <row r="140" spans="1:8" x14ac:dyDescent="0.2">
      <c r="A140" t="s">
        <v>628</v>
      </c>
      <c r="B140" t="s">
        <v>274</v>
      </c>
      <c r="C140" t="s">
        <v>629</v>
      </c>
      <c r="D140" t="s">
        <v>630</v>
      </c>
      <c r="E140" t="s">
        <v>33</v>
      </c>
      <c r="F140" t="s">
        <v>631</v>
      </c>
      <c r="G140">
        <v>24.29</v>
      </c>
      <c r="H140" t="s">
        <v>28</v>
      </c>
    </row>
    <row r="141" spans="1:8" x14ac:dyDescent="0.2">
      <c r="A141" t="s">
        <v>632</v>
      </c>
      <c r="B141" t="s">
        <v>633</v>
      </c>
      <c r="C141" t="s">
        <v>634</v>
      </c>
      <c r="D141" t="s">
        <v>635</v>
      </c>
      <c r="E141" t="s">
        <v>12</v>
      </c>
      <c r="F141" t="s">
        <v>636</v>
      </c>
      <c r="G141">
        <v>178.5</v>
      </c>
      <c r="H141" t="s">
        <v>21</v>
      </c>
    </row>
    <row r="142" spans="1:8" x14ac:dyDescent="0.2">
      <c r="A142" t="s">
        <v>637</v>
      </c>
      <c r="B142" t="s">
        <v>593</v>
      </c>
      <c r="C142" t="s">
        <v>638</v>
      </c>
      <c r="D142" t="s">
        <v>639</v>
      </c>
      <c r="E142" t="s">
        <v>12</v>
      </c>
      <c r="F142" t="s">
        <v>640</v>
      </c>
      <c r="G142">
        <v>257.47000000000003</v>
      </c>
      <c r="H142" t="s">
        <v>91</v>
      </c>
    </row>
    <row r="143" spans="1:8" x14ac:dyDescent="0.2">
      <c r="A143" t="s">
        <v>641</v>
      </c>
      <c r="B143" t="s">
        <v>642</v>
      </c>
      <c r="C143" t="s">
        <v>643</v>
      </c>
      <c r="D143" t="s">
        <v>644</v>
      </c>
      <c r="E143" t="s">
        <v>50</v>
      </c>
      <c r="F143" t="s">
        <v>645</v>
      </c>
      <c r="G143">
        <v>317.64</v>
      </c>
      <c r="H143" t="s">
        <v>91</v>
      </c>
    </row>
    <row r="144" spans="1:8" x14ac:dyDescent="0.2">
      <c r="A144" t="s">
        <v>646</v>
      </c>
      <c r="B144" t="s">
        <v>647</v>
      </c>
      <c r="C144" t="s">
        <v>648</v>
      </c>
      <c r="D144" t="s">
        <v>649</v>
      </c>
      <c r="E144" t="s">
        <v>407</v>
      </c>
      <c r="F144" t="s">
        <v>650</v>
      </c>
      <c r="G144">
        <v>319.39</v>
      </c>
      <c r="H144" t="s">
        <v>28</v>
      </c>
    </row>
    <row r="145" spans="1:8" x14ac:dyDescent="0.2">
      <c r="A145" t="s">
        <v>651</v>
      </c>
      <c r="B145" t="s">
        <v>652</v>
      </c>
      <c r="C145" t="s">
        <v>653</v>
      </c>
      <c r="D145" t="s">
        <v>654</v>
      </c>
      <c r="E145" t="s">
        <v>62</v>
      </c>
      <c r="F145" t="s">
        <v>301</v>
      </c>
      <c r="G145">
        <v>197.02</v>
      </c>
      <c r="H145" t="s">
        <v>14</v>
      </c>
    </row>
    <row r="146" spans="1:8" x14ac:dyDescent="0.2">
      <c r="A146" t="s">
        <v>655</v>
      </c>
      <c r="B146" t="s">
        <v>656</v>
      </c>
      <c r="C146" t="s">
        <v>657</v>
      </c>
      <c r="D146" t="s">
        <v>658</v>
      </c>
      <c r="E146" t="s">
        <v>39</v>
      </c>
      <c r="F146" t="s">
        <v>659</v>
      </c>
      <c r="G146">
        <v>330.94</v>
      </c>
      <c r="H146" t="s">
        <v>21</v>
      </c>
    </row>
    <row r="147" spans="1:8" x14ac:dyDescent="0.2">
      <c r="A147" t="s">
        <v>660</v>
      </c>
      <c r="B147" t="s">
        <v>661</v>
      </c>
      <c r="C147" t="s">
        <v>662</v>
      </c>
      <c r="D147" t="s">
        <v>663</v>
      </c>
      <c r="E147" t="s">
        <v>45</v>
      </c>
      <c r="F147" t="s">
        <v>664</v>
      </c>
      <c r="G147">
        <v>142.28</v>
      </c>
      <c r="H147" t="s">
        <v>91</v>
      </c>
    </row>
    <row r="148" spans="1:8" x14ac:dyDescent="0.2">
      <c r="A148" t="s">
        <v>665</v>
      </c>
      <c r="B148" t="s">
        <v>666</v>
      </c>
      <c r="C148" t="s">
        <v>667</v>
      </c>
      <c r="D148" t="s">
        <v>668</v>
      </c>
      <c r="E148" t="s">
        <v>50</v>
      </c>
      <c r="F148" t="s">
        <v>669</v>
      </c>
      <c r="G148">
        <v>75.959999999999994</v>
      </c>
      <c r="H148" t="s">
        <v>21</v>
      </c>
    </row>
    <row r="149" spans="1:8" x14ac:dyDescent="0.2">
      <c r="A149" t="s">
        <v>670</v>
      </c>
      <c r="B149" t="s">
        <v>671</v>
      </c>
      <c r="C149" t="s">
        <v>672</v>
      </c>
      <c r="D149" t="s">
        <v>673</v>
      </c>
      <c r="E149" t="s">
        <v>26</v>
      </c>
      <c r="F149" t="s">
        <v>605</v>
      </c>
      <c r="G149">
        <v>243.54</v>
      </c>
      <c r="H149" t="s">
        <v>14</v>
      </c>
    </row>
    <row r="150" spans="1:8" x14ac:dyDescent="0.2">
      <c r="A150" t="s">
        <v>674</v>
      </c>
      <c r="B150" t="s">
        <v>675</v>
      </c>
      <c r="D150" t="s">
        <v>676</v>
      </c>
      <c r="E150" t="s">
        <v>62</v>
      </c>
      <c r="F150" t="s">
        <v>677</v>
      </c>
      <c r="G150">
        <v>204.08</v>
      </c>
      <c r="H150" t="s">
        <v>21</v>
      </c>
    </row>
    <row r="151" spans="1:8" x14ac:dyDescent="0.2">
      <c r="A151" t="s">
        <v>678</v>
      </c>
      <c r="B151" t="s">
        <v>679</v>
      </c>
      <c r="C151" t="s">
        <v>680</v>
      </c>
      <c r="D151" t="s">
        <v>681</v>
      </c>
      <c r="E151" t="s">
        <v>56</v>
      </c>
      <c r="F151" t="s">
        <v>682</v>
      </c>
      <c r="G151">
        <v>141.43</v>
      </c>
      <c r="H15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499F-FA0B-4F41-8EEC-E4AAD56C3E4E}">
  <dimension ref="A1:M143"/>
  <sheetViews>
    <sheetView tabSelected="1" topLeftCell="A2" workbookViewId="0">
      <selection activeCell="L2" sqref="L2"/>
    </sheetView>
  </sheetViews>
  <sheetFormatPr baseColWidth="10" defaultRowHeight="16" x14ac:dyDescent="0.2"/>
  <cols>
    <col min="1" max="1" width="13.6640625" customWidth="1"/>
    <col min="2" max="2" width="18" bestFit="1" customWidth="1"/>
    <col min="3" max="3" width="31.33203125" bestFit="1" customWidth="1"/>
    <col min="4" max="4" width="13.5" bestFit="1" customWidth="1"/>
    <col min="5" max="5" width="12.1640625" bestFit="1" customWidth="1"/>
    <col min="6" max="6" width="12.5" customWidth="1"/>
    <col min="7" max="7" width="14.6640625" customWidth="1"/>
    <col min="8" max="8" width="13.6640625" customWidth="1"/>
    <col min="9" max="9" width="17.33203125" bestFit="1" customWidth="1"/>
    <col min="10" max="10" width="22.33203125" bestFit="1" customWidth="1"/>
    <col min="11" max="11" width="19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683</v>
      </c>
      <c r="J1" t="s">
        <v>686</v>
      </c>
      <c r="K1" t="s">
        <v>699</v>
      </c>
    </row>
    <row r="2" spans="1:13" x14ac:dyDescent="0.2">
      <c r="A2" t="s">
        <v>162</v>
      </c>
      <c r="B2" t="s">
        <v>163</v>
      </c>
      <c r="C2" t="s">
        <v>164</v>
      </c>
      <c r="D2" t="s">
        <v>738</v>
      </c>
      <c r="E2" t="s">
        <v>50</v>
      </c>
      <c r="F2" s="6">
        <v>46027</v>
      </c>
      <c r="G2">
        <v>48.14</v>
      </c>
      <c r="H2" t="s">
        <v>28</v>
      </c>
      <c r="I2">
        <f t="shared" ref="I2:I33" si="0">COUNTIF($A$2:$A$141,A2)</f>
        <v>1</v>
      </c>
      <c r="J2">
        <f>COUNTIFS(A$2:A2,A2,B$2:B2,B2,C$2:C2,IF(C2="","=",C2),D$2:D2,IF(D2="","=",D2),E$2:E2,IF(E2="","=",E2),F$2:F2,F2,G$2:G2,IF(G2="","=",G2),H$2:H2,H2)</f>
        <v>1</v>
      </c>
      <c r="K2" t="str">
        <f t="shared" ref="K2:K33" si="1">IF(OR(C2="",G2="",NOT(ISNUMBER(G2)),AND(ISNUMBER(G2),G2&lt;=0)),"Needs Review","Valid")</f>
        <v>Valid</v>
      </c>
    </row>
    <row r="3" spans="1:13" x14ac:dyDescent="0.2">
      <c r="A3" t="s">
        <v>665</v>
      </c>
      <c r="B3" t="s">
        <v>666</v>
      </c>
      <c r="C3" t="s">
        <v>667</v>
      </c>
      <c r="D3" t="s">
        <v>830</v>
      </c>
      <c r="E3" t="s">
        <v>50</v>
      </c>
      <c r="F3" s="6">
        <v>46028</v>
      </c>
      <c r="G3">
        <v>75.959999999999994</v>
      </c>
      <c r="H3" t="s">
        <v>21</v>
      </c>
      <c r="I3">
        <f t="shared" si="0"/>
        <v>1</v>
      </c>
      <c r="J3">
        <f>COUNTIFS(A$2:A3,A3,B$2:B3,B3,C$2:C3,IF(C3="","=",C3),D$2:D3,IF(D3="","=",D3),E$2:E3,IF(E3="","=",E3),F$2:F3,F3,G$2:G3,IF(G3="","=",G3),H$2:H3,H3)</f>
        <v>1</v>
      </c>
      <c r="K3" t="str">
        <f t="shared" si="1"/>
        <v>Valid</v>
      </c>
    </row>
    <row r="4" spans="1:13" x14ac:dyDescent="0.2">
      <c r="A4" t="s">
        <v>588</v>
      </c>
      <c r="B4" t="s">
        <v>193</v>
      </c>
      <c r="C4" t="s">
        <v>589</v>
      </c>
      <c r="D4" t="s">
        <v>817</v>
      </c>
      <c r="E4" t="s">
        <v>50</v>
      </c>
      <c r="F4" s="6">
        <v>46039</v>
      </c>
      <c r="G4">
        <v>222.88</v>
      </c>
      <c r="H4" t="s">
        <v>28</v>
      </c>
      <c r="I4">
        <f t="shared" si="0"/>
        <v>1</v>
      </c>
      <c r="J4">
        <f>COUNTIFS(A$2:A4,A4,B$2:B4,B4,C$2:C4,IF(C4="","=",C4),D$2:D4,IF(D4="","=",D4),E$2:E4,IF(E4="","=",E4),F$2:F4,F4,G$2:G4,IF(G4="","=",G4),H$2:H4,H4)</f>
        <v>1</v>
      </c>
      <c r="K4" t="str">
        <f t="shared" si="1"/>
        <v>Valid</v>
      </c>
      <c r="M4" s="5"/>
    </row>
    <row r="5" spans="1:13" x14ac:dyDescent="0.2">
      <c r="A5" t="s">
        <v>646</v>
      </c>
      <c r="B5" t="s">
        <v>647</v>
      </c>
      <c r="C5" t="s">
        <v>648</v>
      </c>
      <c r="D5" t="s">
        <v>649</v>
      </c>
      <c r="E5" t="s">
        <v>69</v>
      </c>
      <c r="F5" s="6">
        <v>46040</v>
      </c>
      <c r="G5">
        <v>319.39</v>
      </c>
      <c r="H5" t="s">
        <v>28</v>
      </c>
      <c r="I5">
        <f t="shared" si="0"/>
        <v>1</v>
      </c>
      <c r="J5">
        <f>COUNTIFS(A$2:A5,A5,B$2:B5,B5,C$2:C5,IF(C5="","=",C5),D$2:D5,IF(D5="","=",D5),E$2:E5,IF(E5="","=",E5),F$2:F5,F5,G$2:G5,IF(G5="","=",G5),H$2:H5,H5)</f>
        <v>1</v>
      </c>
      <c r="K5" t="str">
        <f t="shared" si="1"/>
        <v>Valid</v>
      </c>
      <c r="M5" s="5"/>
    </row>
    <row r="6" spans="1:13" x14ac:dyDescent="0.2">
      <c r="A6" t="s">
        <v>364</v>
      </c>
      <c r="B6" t="s">
        <v>365</v>
      </c>
      <c r="C6" t="s">
        <v>366</v>
      </c>
      <c r="D6" t="s">
        <v>773</v>
      </c>
      <c r="E6" t="s">
        <v>56</v>
      </c>
      <c r="F6" s="6">
        <v>46042</v>
      </c>
      <c r="G6">
        <v>124.27</v>
      </c>
      <c r="H6" t="s">
        <v>369</v>
      </c>
      <c r="I6">
        <f t="shared" si="0"/>
        <v>1</v>
      </c>
      <c r="J6">
        <f>COUNTIFS(A$2:A6,A6,B$2:B6,B6,C$2:C6,IF(C6="","=",C6),D$2:D6,IF(D6="","=",D6),E$2:E6,IF(E6="","=",E6),F$2:F6,F6,G$2:G6,IF(G6="","=",G6),H$2:H6,H6)</f>
        <v>1</v>
      </c>
      <c r="K6" t="str">
        <f t="shared" si="1"/>
        <v>Valid</v>
      </c>
      <c r="M6" s="5"/>
    </row>
    <row r="7" spans="1:13" x14ac:dyDescent="0.2">
      <c r="A7" t="s">
        <v>172</v>
      </c>
      <c r="B7" t="s">
        <v>77</v>
      </c>
      <c r="C7" t="s">
        <v>173</v>
      </c>
      <c r="D7" t="s">
        <v>740</v>
      </c>
      <c r="E7" t="s">
        <v>50</v>
      </c>
      <c r="F7" s="6">
        <v>46043</v>
      </c>
      <c r="G7">
        <v>116.32</v>
      </c>
      <c r="H7" t="s">
        <v>176</v>
      </c>
      <c r="I7">
        <f t="shared" si="0"/>
        <v>1</v>
      </c>
      <c r="J7">
        <f>COUNTIFS(A$2:A7,A7,B$2:B7,B7,C$2:C7,IF(C7="","=",C7),D$2:D7,IF(D7="","=",D7),E$2:E7,IF(E7="","=",E7),F$2:F7,F7,G$2:G7,IF(G7="","=",G7),H$2:H7,H7)</f>
        <v>1</v>
      </c>
      <c r="K7" t="str">
        <f t="shared" si="1"/>
        <v>Valid</v>
      </c>
      <c r="M7" s="5"/>
    </row>
    <row r="8" spans="1:13" x14ac:dyDescent="0.2">
      <c r="A8" t="s">
        <v>288</v>
      </c>
      <c r="B8" t="s">
        <v>123</v>
      </c>
      <c r="C8" t="s">
        <v>289</v>
      </c>
      <c r="D8" t="s">
        <v>758</v>
      </c>
      <c r="E8" t="s">
        <v>45</v>
      </c>
      <c r="F8" s="6">
        <v>46043</v>
      </c>
      <c r="G8">
        <v>138.97</v>
      </c>
      <c r="H8" t="s">
        <v>14</v>
      </c>
      <c r="I8">
        <f t="shared" si="0"/>
        <v>1</v>
      </c>
      <c r="J8">
        <f>COUNTIFS(A$2:A8,A8,B$2:B8,B8,C$2:C8,IF(C8="","=",C8),D$2:D8,IF(D8="","=",D8),E$2:E8,IF(E8="","=",E8),F$2:F8,F8,G$2:G8,IF(G8="","=",G8),H$2:H8,H8)</f>
        <v>1</v>
      </c>
      <c r="K8" t="str">
        <f t="shared" si="1"/>
        <v>Valid</v>
      </c>
      <c r="M8" s="5"/>
    </row>
    <row r="9" spans="1:13" x14ac:dyDescent="0.2">
      <c r="A9" t="s">
        <v>502</v>
      </c>
      <c r="B9" t="s">
        <v>343</v>
      </c>
      <c r="C9" t="s">
        <v>504</v>
      </c>
      <c r="D9" t="s">
        <v>800</v>
      </c>
      <c r="E9" t="s">
        <v>50</v>
      </c>
      <c r="F9" s="6">
        <v>46048</v>
      </c>
      <c r="G9">
        <v>116.35</v>
      </c>
      <c r="H9" t="s">
        <v>64</v>
      </c>
      <c r="I9">
        <f t="shared" si="0"/>
        <v>1</v>
      </c>
      <c r="J9">
        <f>COUNTIFS(A$2:A9,A9,B$2:B9,B9,C$2:C9,IF(C9="","=",C9),D$2:D9,IF(D9="","=",D9),E$2:E9,IF(E9="","=",E9),F$2:F9,F9,G$2:G9,IF(G9="","=",G9),H$2:H9,H9)</f>
        <v>1</v>
      </c>
      <c r="K9" t="str">
        <f t="shared" si="1"/>
        <v>Valid</v>
      </c>
      <c r="M9" s="5"/>
    </row>
    <row r="10" spans="1:13" x14ac:dyDescent="0.2">
      <c r="A10" t="s">
        <v>177</v>
      </c>
      <c r="B10" t="s">
        <v>178</v>
      </c>
      <c r="C10" t="s">
        <v>179</v>
      </c>
      <c r="D10" t="s">
        <v>741</v>
      </c>
      <c r="E10" t="s">
        <v>26</v>
      </c>
      <c r="F10" s="6">
        <v>46050</v>
      </c>
      <c r="G10">
        <v>295.43</v>
      </c>
      <c r="H10" t="s">
        <v>14</v>
      </c>
      <c r="I10">
        <f t="shared" si="0"/>
        <v>1</v>
      </c>
      <c r="J10">
        <f>COUNTIFS(A$2:A10,A10,B$2:B10,B10,C$2:C10,IF(C10="","=",C10),D$2:D10,IF(D10="","=",D10),E$2:E10,IF(E10="","=",E10),F$2:F10,F10,G$2:G10,IF(G10="","=",G10),H$2:H10,H10)</f>
        <v>1</v>
      </c>
      <c r="K10" t="str">
        <f t="shared" si="1"/>
        <v>Valid</v>
      </c>
      <c r="M10" s="5"/>
    </row>
    <row r="11" spans="1:13" x14ac:dyDescent="0.2">
      <c r="A11" t="s">
        <v>273</v>
      </c>
      <c r="B11" t="s">
        <v>274</v>
      </c>
      <c r="C11" t="s">
        <v>275</v>
      </c>
      <c r="D11" t="s">
        <v>756</v>
      </c>
      <c r="E11" t="s">
        <v>45</v>
      </c>
      <c r="F11" s="6">
        <v>46056</v>
      </c>
      <c r="G11">
        <v>30.52</v>
      </c>
      <c r="H11" t="s">
        <v>14</v>
      </c>
      <c r="I11">
        <f t="shared" si="0"/>
        <v>1</v>
      </c>
      <c r="J11">
        <f>COUNTIFS(A$2:A11,A11,B$2:B11,B11,C$2:C11,IF(C11="","=",C11),D$2:D11,IF(D11="","=",D11),E$2:E11,IF(E11="","=",E11),F$2:F11,F11,G$2:G11,IF(G11="","=",G11),H$2:H11,H11)</f>
        <v>1</v>
      </c>
      <c r="K11" t="str">
        <f t="shared" si="1"/>
        <v>Valid</v>
      </c>
      <c r="M11" s="5"/>
    </row>
    <row r="12" spans="1:13" x14ac:dyDescent="0.2">
      <c r="A12" t="s">
        <v>292</v>
      </c>
      <c r="B12" t="s">
        <v>293</v>
      </c>
      <c r="C12" t="s">
        <v>294</v>
      </c>
      <c r="D12" t="s">
        <v>759</v>
      </c>
      <c r="E12" t="s">
        <v>45</v>
      </c>
      <c r="F12" s="6">
        <v>46061</v>
      </c>
      <c r="G12">
        <v>15.63</v>
      </c>
      <c r="H12" t="s">
        <v>21</v>
      </c>
      <c r="I12">
        <f t="shared" si="0"/>
        <v>1</v>
      </c>
      <c r="J12">
        <f>COUNTIFS(A$2:A12,A12,B$2:B12,B12,C$2:C12,IF(C12="","=",C12),D$2:D12,IF(D12="","=",D12),E$2:E12,IF(E12="","=",E12),F$2:F12,F12,G$2:G12,IF(G12="","=",G12),H$2:H12,H12)</f>
        <v>1</v>
      </c>
      <c r="K12" t="str">
        <f t="shared" si="1"/>
        <v>Valid</v>
      </c>
      <c r="M12" s="5"/>
    </row>
    <row r="13" spans="1:13" x14ac:dyDescent="0.2">
      <c r="A13" t="s">
        <v>450</v>
      </c>
      <c r="B13" t="s">
        <v>451</v>
      </c>
      <c r="C13" t="s">
        <v>452</v>
      </c>
      <c r="D13" t="s">
        <v>789</v>
      </c>
      <c r="E13" t="s">
        <v>62</v>
      </c>
      <c r="F13" s="6">
        <v>46061</v>
      </c>
      <c r="G13">
        <v>68.23</v>
      </c>
      <c r="H13" t="s">
        <v>21</v>
      </c>
      <c r="I13">
        <f t="shared" si="0"/>
        <v>1</v>
      </c>
      <c r="J13">
        <f>COUNTIFS(A$2:A13,A13,B$2:B13,B13,C$2:C13,IF(C13="","=",C13),D$2:D13,IF(D13="","=",D13),E$2:E13,IF(E13="","=",E13),F$2:F13,F13,G$2:G13,IF(G13="","=",G13),H$2:H13,H13)</f>
        <v>1</v>
      </c>
      <c r="K13" t="str">
        <f t="shared" si="1"/>
        <v>Valid</v>
      </c>
      <c r="M13" s="5"/>
    </row>
    <row r="14" spans="1:13" x14ac:dyDescent="0.2">
      <c r="A14" t="s">
        <v>332</v>
      </c>
      <c r="B14" t="s">
        <v>333</v>
      </c>
      <c r="C14" t="s">
        <v>334</v>
      </c>
      <c r="D14" t="s">
        <v>766</v>
      </c>
      <c r="E14" t="s">
        <v>69</v>
      </c>
      <c r="F14" s="6">
        <v>46063</v>
      </c>
      <c r="H14" t="s">
        <v>28</v>
      </c>
      <c r="I14">
        <f t="shared" si="0"/>
        <v>1</v>
      </c>
      <c r="J14">
        <f>COUNTIFS(A$2:A14,A14,B$2:B14,B14,C$2:C14,IF(C14="","=",C14),D$2:D14,IF(D14="","=",D14),E$2:E14,IF(E14="","=",E14),F$2:F14,F14,G$2:G14,IF(G14="","=",G14),H$2:H14,H14)</f>
        <v>1</v>
      </c>
      <c r="K14" t="str">
        <f t="shared" si="1"/>
        <v>Needs Review</v>
      </c>
      <c r="M14" s="5"/>
    </row>
    <row r="15" spans="1:13" x14ac:dyDescent="0.2">
      <c r="A15" t="s">
        <v>419</v>
      </c>
      <c r="B15" t="s">
        <v>420</v>
      </c>
      <c r="C15" t="s">
        <v>421</v>
      </c>
      <c r="D15" t="s">
        <v>782</v>
      </c>
      <c r="E15" t="s">
        <v>50</v>
      </c>
      <c r="F15" s="6">
        <v>46063</v>
      </c>
      <c r="G15">
        <v>194.28</v>
      </c>
      <c r="H15" t="s">
        <v>176</v>
      </c>
      <c r="I15">
        <f t="shared" si="0"/>
        <v>1</v>
      </c>
      <c r="J15">
        <f>COUNTIFS(A$2:A15,A15,B$2:B15,B15,C$2:C15,IF(C15="","=",C15),D$2:D15,IF(D15="","=",D15),E$2:E15,IF(E15="","=",E15),F$2:F15,F15,G$2:G15,IF(G15="","=",G15),H$2:H15,H15)</f>
        <v>1</v>
      </c>
      <c r="K15" t="str">
        <f t="shared" si="1"/>
        <v>Valid</v>
      </c>
      <c r="M15" s="5"/>
    </row>
    <row r="16" spans="1:13" x14ac:dyDescent="0.2">
      <c r="A16" t="s">
        <v>563</v>
      </c>
      <c r="B16" t="s">
        <v>361</v>
      </c>
      <c r="C16" t="s">
        <v>564</v>
      </c>
      <c r="D16" t="s">
        <v>565</v>
      </c>
      <c r="E16" t="s">
        <v>50</v>
      </c>
      <c r="F16" s="6">
        <v>46064</v>
      </c>
      <c r="G16">
        <v>292.79000000000002</v>
      </c>
      <c r="H16" t="s">
        <v>28</v>
      </c>
      <c r="I16">
        <f t="shared" si="0"/>
        <v>1</v>
      </c>
      <c r="J16">
        <f>COUNTIFS(A$2:A16,A16,B$2:B16,B16,C$2:C16,IF(C16="","=",C16),D$2:D16,IF(D16="","=",D16),E$2:E16,IF(E16="","=",E16),F$2:F16,F16,G$2:G16,IF(G16="","=",G16),H$2:H16,H16)</f>
        <v>1</v>
      </c>
      <c r="K16" t="str">
        <f t="shared" si="1"/>
        <v>Valid</v>
      </c>
      <c r="M16" s="5"/>
    </row>
    <row r="17" spans="1:13" x14ac:dyDescent="0.2">
      <c r="A17" t="s">
        <v>601</v>
      </c>
      <c r="B17" t="s">
        <v>602</v>
      </c>
      <c r="C17" t="s">
        <v>603</v>
      </c>
      <c r="D17" t="s">
        <v>820</v>
      </c>
      <c r="E17" t="s">
        <v>45</v>
      </c>
      <c r="F17" s="6">
        <v>46067</v>
      </c>
      <c r="G17">
        <v>345.33</v>
      </c>
      <c r="H17" t="s">
        <v>91</v>
      </c>
      <c r="I17">
        <f t="shared" si="0"/>
        <v>1</v>
      </c>
      <c r="J17">
        <f>COUNTIFS(A$2:A17,A17,B$2:B17,B17,C$2:C17,IF(C17="","=",C17),D$2:D17,IF(D17="","=",D17),E$2:E17,IF(E17="","=",E17),F$2:F17,F17,G$2:G17,IF(G17="","=",G17),H$2:H17,H17)</f>
        <v>1</v>
      </c>
      <c r="K17" t="str">
        <f t="shared" si="1"/>
        <v>Valid</v>
      </c>
      <c r="M17" s="5"/>
    </row>
    <row r="18" spans="1:13" x14ac:dyDescent="0.2">
      <c r="A18" t="s">
        <v>670</v>
      </c>
      <c r="B18" t="s">
        <v>675</v>
      </c>
      <c r="C18" t="s">
        <v>672</v>
      </c>
      <c r="D18" t="s">
        <v>831</v>
      </c>
      <c r="E18" t="s">
        <v>26</v>
      </c>
      <c r="F18" s="6">
        <v>46067</v>
      </c>
      <c r="G18">
        <v>243.54</v>
      </c>
      <c r="H18" t="s">
        <v>14</v>
      </c>
      <c r="I18">
        <f t="shared" si="0"/>
        <v>1</v>
      </c>
      <c r="J18">
        <f>COUNTIFS(A$2:A18,A18,B$2:B18,B18,C$2:C18,IF(C18="","=",C18),D$2:D18,IF(D18="","=",D18),E$2:E18,IF(E18="","=",E18),F$2:F18,F18,G$2:G18,IF(G18="","=",G18),H$2:H18,H18)</f>
        <v>1</v>
      </c>
      <c r="K18" t="str">
        <f t="shared" si="1"/>
        <v>Valid</v>
      </c>
      <c r="M18" s="5"/>
    </row>
    <row r="19" spans="1:13" x14ac:dyDescent="0.2">
      <c r="A19" t="s">
        <v>383</v>
      </c>
      <c r="B19" t="s">
        <v>384</v>
      </c>
      <c r="C19" t="s">
        <v>385</v>
      </c>
      <c r="D19" t="s">
        <v>386</v>
      </c>
      <c r="E19" t="s">
        <v>12</v>
      </c>
      <c r="F19" s="6">
        <v>46068</v>
      </c>
      <c r="G19">
        <v>349.18</v>
      </c>
      <c r="H19" t="s">
        <v>14</v>
      </c>
      <c r="I19">
        <f t="shared" si="0"/>
        <v>1</v>
      </c>
      <c r="J19">
        <f>COUNTIFS(A$2:A19,A19,B$2:B19,B19,C$2:C19,IF(C19="","=",C19),D$2:D19,IF(D19="","=",D19),E$2:E19,IF(E19="","=",E19),F$2:F19,F19,G$2:G19,IF(G19="","=",G19),H$2:H19,H19)</f>
        <v>1</v>
      </c>
      <c r="K19" t="str">
        <f t="shared" si="1"/>
        <v>Valid</v>
      </c>
      <c r="M19" s="5"/>
    </row>
    <row r="20" spans="1:13" x14ac:dyDescent="0.2">
      <c r="A20" t="s">
        <v>52</v>
      </c>
      <c r="B20" t="s">
        <v>53</v>
      </c>
      <c r="C20" t="s">
        <v>54</v>
      </c>
      <c r="D20" t="s">
        <v>719</v>
      </c>
      <c r="E20" t="s">
        <v>56</v>
      </c>
      <c r="F20" s="6">
        <v>46069</v>
      </c>
      <c r="G20">
        <v>265.52999999999997</v>
      </c>
      <c r="H20" t="s">
        <v>21</v>
      </c>
      <c r="I20">
        <f t="shared" si="0"/>
        <v>1</v>
      </c>
      <c r="J20">
        <f>COUNTIFS(A$2:A20,A20,B$2:B20,B20,C$2:C20,IF(C20="","=",C20),D$2:D20,IF(D20="","=",D20),E$2:E20,IF(E20="","=",E20),F$2:F20,F20,G$2:G20,IF(G20="","=",G20),H$2:H20,H20)</f>
        <v>1</v>
      </c>
      <c r="K20" t="str">
        <f t="shared" si="1"/>
        <v>Valid</v>
      </c>
      <c r="M20" s="5"/>
    </row>
    <row r="21" spans="1:13" x14ac:dyDescent="0.2">
      <c r="A21" t="s">
        <v>128</v>
      </c>
      <c r="B21" t="s">
        <v>129</v>
      </c>
      <c r="C21" t="s">
        <v>130</v>
      </c>
      <c r="D21" t="s">
        <v>732</v>
      </c>
      <c r="E21" t="s">
        <v>12</v>
      </c>
      <c r="F21" s="6">
        <v>46071</v>
      </c>
      <c r="G21">
        <v>156.72</v>
      </c>
      <c r="H21" t="s">
        <v>21</v>
      </c>
      <c r="I21">
        <f t="shared" si="0"/>
        <v>1</v>
      </c>
      <c r="J21">
        <f>COUNTIFS(A$2:A21,A21,B$2:B21,B21,C$2:C21,IF(C21="","=",C21),D$2:D21,IF(D21="","=",D21),E$2:E21,IF(E21="","=",E21),F$2:F21,F21,G$2:G21,IF(G21="","=",G21),H$2:H21,H21)</f>
        <v>1</v>
      </c>
      <c r="K21" t="str">
        <f t="shared" si="1"/>
        <v>Valid</v>
      </c>
      <c r="M21" s="5"/>
    </row>
    <row r="22" spans="1:13" x14ac:dyDescent="0.2">
      <c r="A22" t="s">
        <v>542</v>
      </c>
      <c r="B22" t="s">
        <v>543</v>
      </c>
      <c r="D22" t="s">
        <v>808</v>
      </c>
      <c r="E22" t="s">
        <v>33</v>
      </c>
      <c r="F22" s="6">
        <v>46076</v>
      </c>
      <c r="G22">
        <v>294.05</v>
      </c>
      <c r="H22" t="s">
        <v>28</v>
      </c>
      <c r="I22">
        <f t="shared" si="0"/>
        <v>1</v>
      </c>
      <c r="J22">
        <f>COUNTIFS(A$2:A22,A22,B$2:B22,B22,C$2:C22,IF(C22="","=",C22),D$2:D22,IF(D22="","=",D22),E$2:E22,IF(E22="","=",E22),F$2:F22,F22,G$2:G22,IF(G22="","=",G22),H$2:H22,H22)</f>
        <v>1</v>
      </c>
      <c r="K22" t="str">
        <f t="shared" si="1"/>
        <v>Needs Review</v>
      </c>
      <c r="M22" s="5"/>
    </row>
    <row r="23" spans="1:13" x14ac:dyDescent="0.2">
      <c r="A23" t="s">
        <v>112</v>
      </c>
      <c r="B23" t="s">
        <v>113</v>
      </c>
      <c r="C23" t="s">
        <v>114</v>
      </c>
      <c r="D23" t="s">
        <v>730</v>
      </c>
      <c r="E23" t="s">
        <v>62</v>
      </c>
      <c r="F23" s="6">
        <v>46082</v>
      </c>
      <c r="G23">
        <v>45.08</v>
      </c>
      <c r="H23" t="s">
        <v>21</v>
      </c>
      <c r="I23">
        <f t="shared" si="0"/>
        <v>1</v>
      </c>
      <c r="J23">
        <f>COUNTIFS(A$2:A23,A23,B$2:B23,B23,C$2:C23,IF(C23="","=",C23),D$2:D23,IF(D23="","=",D23),E$2:E23,IF(E23="","=",E23),F$2:F23,F23,G$2:G23,IF(G23="","=",G23),H$2:H23,H23)</f>
        <v>1</v>
      </c>
      <c r="K23" t="str">
        <f t="shared" si="1"/>
        <v>Valid</v>
      </c>
      <c r="M23" s="5"/>
    </row>
    <row r="24" spans="1:13" x14ac:dyDescent="0.2">
      <c r="A24" t="s">
        <v>610</v>
      </c>
      <c r="B24" t="s">
        <v>611</v>
      </c>
      <c r="C24" t="s">
        <v>612</v>
      </c>
      <c r="D24" t="s">
        <v>613</v>
      </c>
      <c r="E24" t="s">
        <v>62</v>
      </c>
      <c r="F24" s="6">
        <v>46085</v>
      </c>
      <c r="G24">
        <v>153.69</v>
      </c>
      <c r="H24" t="s">
        <v>127</v>
      </c>
      <c r="I24">
        <f t="shared" si="0"/>
        <v>1</v>
      </c>
      <c r="J24">
        <f>COUNTIFS(A$2:A24,A24,B$2:B24,B24,C$2:C24,IF(C24="","=",C24),D$2:D24,IF(D24="","=",D24),E$2:E24,IF(E24="","=",E24),F$2:F24,F24,G$2:G24,IF(G24="","=",G24),H$2:H24,H24)</f>
        <v>1</v>
      </c>
      <c r="K24" t="str">
        <f t="shared" si="1"/>
        <v>Valid</v>
      </c>
      <c r="M24" s="5"/>
    </row>
    <row r="25" spans="1:13" x14ac:dyDescent="0.2">
      <c r="A25" t="s">
        <v>632</v>
      </c>
      <c r="B25" t="s">
        <v>633</v>
      </c>
      <c r="C25" t="s">
        <v>634</v>
      </c>
      <c r="D25" t="s">
        <v>824</v>
      </c>
      <c r="E25" t="s">
        <v>12</v>
      </c>
      <c r="F25" s="6">
        <v>46088</v>
      </c>
      <c r="G25">
        <v>178.5</v>
      </c>
      <c r="H25" t="s">
        <v>21</v>
      </c>
      <c r="I25">
        <f t="shared" si="0"/>
        <v>1</v>
      </c>
      <c r="J25">
        <f>COUNTIFS(A$2:A25,A25,B$2:B25,B25,C$2:C25,IF(C25="","=",C25),D$2:D25,IF(D25="","=",D25),E$2:E25,IF(E25="","=",E25),F$2:F25,F25,G$2:G25,IF(G25="","=",G25),H$2:H25,H25)</f>
        <v>1</v>
      </c>
      <c r="K25" t="str">
        <f t="shared" si="1"/>
        <v>Valid</v>
      </c>
      <c r="M25" s="5"/>
    </row>
    <row r="26" spans="1:13" x14ac:dyDescent="0.2">
      <c r="A26" t="s">
        <v>117</v>
      </c>
      <c r="B26" t="s">
        <v>118</v>
      </c>
      <c r="C26" t="s">
        <v>119</v>
      </c>
      <c r="D26" t="s">
        <v>731</v>
      </c>
      <c r="E26" t="s">
        <v>69</v>
      </c>
      <c r="F26" s="6">
        <v>46092</v>
      </c>
      <c r="G26">
        <v>309.8</v>
      </c>
      <c r="H26" t="s">
        <v>91</v>
      </c>
      <c r="I26">
        <f t="shared" si="0"/>
        <v>1</v>
      </c>
      <c r="J26">
        <f>COUNTIFS(A$2:A26,A26,B$2:B26,B26,C$2:C26,IF(C26="","=",C26),D$2:D26,IF(D26="","=",D26),E$2:E26,IF(E26="","=",E26),F$2:F26,F26,G$2:G26,IF(G26="","=",G26),H$2:H26,H26)</f>
        <v>1</v>
      </c>
      <c r="K26" t="str">
        <f t="shared" si="1"/>
        <v>Valid</v>
      </c>
      <c r="M26" s="5"/>
    </row>
    <row r="27" spans="1:13" x14ac:dyDescent="0.2">
      <c r="A27" t="s">
        <v>35</v>
      </c>
      <c r="B27" t="s">
        <v>36</v>
      </c>
      <c r="C27" t="s">
        <v>37</v>
      </c>
      <c r="D27" t="s">
        <v>716</v>
      </c>
      <c r="E27" t="s">
        <v>50</v>
      </c>
      <c r="F27" s="6">
        <v>46094</v>
      </c>
      <c r="G27">
        <v>162.02000000000001</v>
      </c>
      <c r="H27" t="s">
        <v>14</v>
      </c>
      <c r="I27">
        <f t="shared" si="0"/>
        <v>1</v>
      </c>
      <c r="J27">
        <f>COUNTIFS(A$2:A27,A27,B$2:B27,B27,C$2:C27,IF(C27="","=",C27),D$2:D27,IF(D27="","=",D27),E$2:E27,IF(E27="","=",E27),F$2:F27,F27,G$2:G27,IF(G27="","=",G27),H$2:H27,H27)</f>
        <v>1</v>
      </c>
      <c r="K27" t="str">
        <f t="shared" si="1"/>
        <v>Valid</v>
      </c>
      <c r="M27" s="5"/>
    </row>
    <row r="28" spans="1:13" x14ac:dyDescent="0.2">
      <c r="A28" t="s">
        <v>102</v>
      </c>
      <c r="B28" t="s">
        <v>103</v>
      </c>
      <c r="C28" t="s">
        <v>104</v>
      </c>
      <c r="D28" t="s">
        <v>728</v>
      </c>
      <c r="E28" t="s">
        <v>69</v>
      </c>
      <c r="F28" s="6">
        <v>46096</v>
      </c>
      <c r="G28">
        <v>95.32</v>
      </c>
      <c r="H28" t="s">
        <v>14</v>
      </c>
      <c r="I28">
        <f t="shared" si="0"/>
        <v>1</v>
      </c>
      <c r="J28">
        <f>COUNTIFS(A$2:A28,A28,B$2:B28,B28,C$2:C28,IF(C28="","=",C28),D$2:D28,IF(D28="","=",D28),E$2:E28,IF(E28="","=",E28),F$2:F28,F28,G$2:G28,IF(G28="","=",G28),H$2:H28,H28)</f>
        <v>1</v>
      </c>
      <c r="K28" t="str">
        <f t="shared" si="1"/>
        <v>Valid</v>
      </c>
      <c r="M28" s="5"/>
    </row>
    <row r="29" spans="1:13" x14ac:dyDescent="0.2">
      <c r="A29" t="s">
        <v>148</v>
      </c>
      <c r="B29" t="s">
        <v>149</v>
      </c>
      <c r="C29" t="s">
        <v>150</v>
      </c>
      <c r="D29" t="s">
        <v>735</v>
      </c>
      <c r="E29" t="s">
        <v>62</v>
      </c>
      <c r="F29" s="6">
        <v>46096</v>
      </c>
      <c r="G29">
        <v>324.41000000000003</v>
      </c>
      <c r="H29" t="s">
        <v>91</v>
      </c>
      <c r="I29">
        <f t="shared" si="0"/>
        <v>1</v>
      </c>
      <c r="J29">
        <f>COUNTIFS(A$2:A29,A29,B$2:B29,B29,C$2:C29,IF(C29="","=",C29),D$2:D29,IF(D29="","=",D29),E$2:E29,IF(E29="","=",E29),F$2:F29,F29,G$2:G29,IF(G29="","=",G29),H$2:H29,H29)</f>
        <v>1</v>
      </c>
      <c r="K29" t="str">
        <f t="shared" si="1"/>
        <v>Valid</v>
      </c>
      <c r="M29" s="5"/>
    </row>
    <row r="30" spans="1:13" x14ac:dyDescent="0.2">
      <c r="A30" t="s">
        <v>337</v>
      </c>
      <c r="B30" t="s">
        <v>338</v>
      </c>
      <c r="C30" t="s">
        <v>339</v>
      </c>
      <c r="D30" t="s">
        <v>767</v>
      </c>
      <c r="E30" t="s">
        <v>56</v>
      </c>
      <c r="F30" s="6">
        <v>46096</v>
      </c>
      <c r="G30">
        <v>334.3</v>
      </c>
      <c r="H30" t="s">
        <v>28</v>
      </c>
      <c r="I30">
        <f t="shared" si="0"/>
        <v>1</v>
      </c>
      <c r="J30">
        <f>COUNTIFS(A$2:A30,A30,B$2:B30,B30,C$2:C30,IF(C30="","=",C30),D$2:D30,IF(D30="","=",D30),E$2:E30,IF(E30="","=",E30),F$2:F30,F30,G$2:G30,IF(G30="","=",G30),H$2:H30,H30)</f>
        <v>1</v>
      </c>
      <c r="K30" t="str">
        <f t="shared" si="1"/>
        <v>Valid</v>
      </c>
      <c r="M30" s="5"/>
    </row>
    <row r="31" spans="1:13" x14ac:dyDescent="0.2">
      <c r="A31" t="s">
        <v>228</v>
      </c>
      <c r="B31" t="s">
        <v>229</v>
      </c>
      <c r="C31" t="s">
        <v>230</v>
      </c>
      <c r="D31" t="s">
        <v>750</v>
      </c>
      <c r="E31" t="s">
        <v>45</v>
      </c>
      <c r="F31" s="6">
        <v>46099</v>
      </c>
      <c r="G31">
        <v>228.4</v>
      </c>
      <c r="H31" t="s">
        <v>21</v>
      </c>
      <c r="I31">
        <f t="shared" si="0"/>
        <v>1</v>
      </c>
      <c r="J31">
        <f>COUNTIFS(A$2:A31,A31,B$2:B31,B31,C$2:C31,IF(C31="","=",C31),D$2:D31,IF(D31="","=",D31),E$2:E31,IF(E31="","=",E31),F$2:F31,F31,G$2:G31,IF(G31="","=",G31),H$2:H31,H31)</f>
        <v>1</v>
      </c>
      <c r="K31" t="str">
        <f t="shared" si="1"/>
        <v>Valid</v>
      </c>
      <c r="M31" s="5"/>
    </row>
    <row r="32" spans="1:13" x14ac:dyDescent="0.2">
      <c r="A32" t="s">
        <v>302</v>
      </c>
      <c r="B32" t="s">
        <v>303</v>
      </c>
      <c r="C32" t="s">
        <v>304</v>
      </c>
      <c r="D32" t="s">
        <v>761</v>
      </c>
      <c r="E32" t="s">
        <v>50</v>
      </c>
      <c r="F32" s="6">
        <v>46105</v>
      </c>
      <c r="G32">
        <v>236.5</v>
      </c>
      <c r="H32" t="s">
        <v>14</v>
      </c>
      <c r="I32">
        <f t="shared" si="0"/>
        <v>1</v>
      </c>
      <c r="J32">
        <f>COUNTIFS(A$2:A32,A32,B$2:B32,B32,C$2:C32,IF(C32="","=",C32),D$2:D32,IF(D32="","=",D32),E$2:E32,IF(E32="","=",E32),F$2:F32,F32,G$2:G32,IF(G32="","=",G32),H$2:H32,H32)</f>
        <v>1</v>
      </c>
      <c r="K32" t="str">
        <f t="shared" si="1"/>
        <v>Valid</v>
      </c>
      <c r="M32" s="5"/>
    </row>
    <row r="33" spans="1:13" x14ac:dyDescent="0.2">
      <c r="A33" t="s">
        <v>254</v>
      </c>
      <c r="B33" t="s">
        <v>255</v>
      </c>
      <c r="C33" t="s">
        <v>256</v>
      </c>
      <c r="D33" t="s">
        <v>257</v>
      </c>
      <c r="E33" t="s">
        <v>33</v>
      </c>
      <c r="F33" s="6">
        <v>46107</v>
      </c>
      <c r="G33">
        <v>254.93</v>
      </c>
      <c r="H33" t="s">
        <v>14</v>
      </c>
      <c r="I33">
        <f t="shared" si="0"/>
        <v>1</v>
      </c>
      <c r="J33">
        <f>COUNTIFS(A$2:A33,A33,B$2:B33,B33,C$2:C33,IF(C33="","=",C33),D$2:D33,IF(D33="","=",D33),E$2:E33,IF(E33="","=",E33),F$2:F33,F33,G$2:G33,IF(G33="","=",G33),H$2:H33,H33)</f>
        <v>1</v>
      </c>
      <c r="K33" t="str">
        <f t="shared" si="1"/>
        <v>Valid</v>
      </c>
      <c r="M33" s="5"/>
    </row>
    <row r="34" spans="1:13" x14ac:dyDescent="0.2">
      <c r="A34" t="s">
        <v>65</v>
      </c>
      <c r="B34" t="s">
        <v>66</v>
      </c>
      <c r="C34" t="s">
        <v>67</v>
      </c>
      <c r="D34" t="s">
        <v>721</v>
      </c>
      <c r="E34" t="s">
        <v>69</v>
      </c>
      <c r="F34" s="6">
        <v>46109</v>
      </c>
      <c r="G34">
        <v>174.03</v>
      </c>
      <c r="H34" t="s">
        <v>14</v>
      </c>
      <c r="I34">
        <f t="shared" ref="I34:I65" si="2">COUNTIF($A$2:$A$141,A34)</f>
        <v>1</v>
      </c>
      <c r="J34">
        <f>COUNTIFS(A$2:A34,A34,B$2:B34,B34,C$2:C34,IF(C34="","=",C34),D$2:D34,IF(D34="","=",D34),E$2:E34,IF(E34="","=",E34),F$2:F34,F34,G$2:G34,IF(G34="","=",G34),H$2:H34,H34)</f>
        <v>1</v>
      </c>
      <c r="K34" t="str">
        <f t="shared" ref="K34:K65" si="3">IF(OR(C34="",G34="",NOT(ISNUMBER(G34)),AND(ISNUMBER(G34),G34&lt;=0)),"Needs Review","Valid")</f>
        <v>Valid</v>
      </c>
      <c r="M34" s="5"/>
    </row>
    <row r="35" spans="1:13" x14ac:dyDescent="0.2">
      <c r="A35" t="s">
        <v>592</v>
      </c>
      <c r="B35" t="s">
        <v>593</v>
      </c>
      <c r="C35" t="s">
        <v>594</v>
      </c>
      <c r="D35" t="s">
        <v>818</v>
      </c>
      <c r="E35" t="s">
        <v>69</v>
      </c>
      <c r="F35" s="6">
        <v>46109</v>
      </c>
      <c r="G35">
        <v>243.76</v>
      </c>
      <c r="H35" t="s">
        <v>91</v>
      </c>
      <c r="I35">
        <f t="shared" si="2"/>
        <v>1</v>
      </c>
      <c r="J35">
        <f>COUNTIFS(A$2:A35,A35,B$2:B35,B35,C$2:C35,IF(C35="","=",C35),D$2:D35,IF(D35="","=",D35),E$2:E35,IF(E35="","=",E35),F$2:F35,F35,G$2:G35,IF(G35="","=",G35),H$2:H35,H35)</f>
        <v>1</v>
      </c>
      <c r="K35" t="str">
        <f t="shared" si="3"/>
        <v>Valid</v>
      </c>
      <c r="M35" s="5"/>
    </row>
    <row r="36" spans="1:13" x14ac:dyDescent="0.2">
      <c r="A36" t="s">
        <v>550</v>
      </c>
      <c r="B36" t="s">
        <v>217</v>
      </c>
      <c r="C36" t="s">
        <v>551</v>
      </c>
      <c r="D36" t="s">
        <v>810</v>
      </c>
      <c r="E36" t="s">
        <v>69</v>
      </c>
      <c r="F36" s="6">
        <v>46113</v>
      </c>
      <c r="G36">
        <v>138.94999999999999</v>
      </c>
      <c r="H36" t="s">
        <v>21</v>
      </c>
      <c r="I36">
        <f t="shared" si="2"/>
        <v>1</v>
      </c>
      <c r="J36">
        <f>COUNTIFS(A$2:A36,A36,B$2:B36,B36,C$2:C36,IF(C36="","=",C36),D$2:D36,IF(D36="","=",D36),E$2:E36,IF(E36="","=",E36),F$2:F36,F36,G$2:G36,IF(G36="","=",G36),H$2:H36,H36)</f>
        <v>1</v>
      </c>
      <c r="K36" t="str">
        <f t="shared" si="3"/>
        <v>Valid</v>
      </c>
      <c r="M36" s="5"/>
    </row>
    <row r="37" spans="1:13" x14ac:dyDescent="0.2">
      <c r="A37" t="s">
        <v>259</v>
      </c>
      <c r="B37" t="s">
        <v>260</v>
      </c>
      <c r="C37" t="s">
        <v>261</v>
      </c>
      <c r="D37" t="s">
        <v>753</v>
      </c>
      <c r="E37" t="s">
        <v>12</v>
      </c>
      <c r="F37" s="6">
        <v>46116</v>
      </c>
      <c r="G37">
        <v>278.62</v>
      </c>
      <c r="H37" t="s">
        <v>14</v>
      </c>
      <c r="I37">
        <f t="shared" si="2"/>
        <v>1</v>
      </c>
      <c r="J37">
        <f>COUNTIFS(A$2:A37,A37,B$2:B37,B37,C$2:C37,IF(C37="","=",C37),D$2:D37,IF(D37="","=",D37),E$2:E37,IF(E37="","=",E37),F$2:F37,F37,G$2:G37,IF(G37="","=",G37),H$2:H37,H37)</f>
        <v>1</v>
      </c>
      <c r="K37" t="str">
        <f t="shared" si="3"/>
        <v>Valid</v>
      </c>
      <c r="M37" s="5"/>
    </row>
    <row r="38" spans="1:13" x14ac:dyDescent="0.2">
      <c r="A38" t="s">
        <v>606</v>
      </c>
      <c r="B38" t="s">
        <v>123</v>
      </c>
      <c r="C38" t="s">
        <v>607</v>
      </c>
      <c r="D38" t="s">
        <v>608</v>
      </c>
      <c r="E38" t="s">
        <v>26</v>
      </c>
      <c r="F38" s="6">
        <v>46116</v>
      </c>
      <c r="G38">
        <v>181.68</v>
      </c>
      <c r="H38" t="s">
        <v>609</v>
      </c>
      <c r="I38">
        <f t="shared" si="2"/>
        <v>1</v>
      </c>
      <c r="J38">
        <f>COUNTIFS(A$2:A38,A38,B$2:B38,B38,C$2:C38,IF(C38="","=",C38),D$2:D38,IF(D38="","=",D38),E$2:E38,IF(E38="","=",E38),F$2:F38,F38,G$2:G38,IF(G38="","=",G38),H$2:H38,H38)</f>
        <v>1</v>
      </c>
      <c r="K38" t="str">
        <f t="shared" si="3"/>
        <v>Valid</v>
      </c>
      <c r="M38" s="5"/>
    </row>
    <row r="39" spans="1:13" x14ac:dyDescent="0.2">
      <c r="A39" t="s">
        <v>264</v>
      </c>
      <c r="B39" t="s">
        <v>203</v>
      </c>
      <c r="C39" t="s">
        <v>265</v>
      </c>
      <c r="D39" t="s">
        <v>754</v>
      </c>
      <c r="E39" t="s">
        <v>833</v>
      </c>
      <c r="F39" s="6">
        <v>46117</v>
      </c>
      <c r="G39">
        <v>18.149999999999999</v>
      </c>
      <c r="H39" t="s">
        <v>91</v>
      </c>
      <c r="I39">
        <f t="shared" si="2"/>
        <v>1</v>
      </c>
      <c r="J39">
        <f>COUNTIFS(A$2:A39,A39,B$2:B39,B39,C$2:C39,IF(C39="","=",C39),D$2:D39,IF(D39="","=",D39),E$2:E39,IF(E39="","=",E39),F$2:F39,F39,G$2:G39,IF(G39="","=",G39),H$2:H39,H39)</f>
        <v>1</v>
      </c>
      <c r="K39" t="str">
        <f t="shared" si="3"/>
        <v>Valid</v>
      </c>
      <c r="M39" s="5"/>
    </row>
    <row r="40" spans="1:13" x14ac:dyDescent="0.2">
      <c r="A40" t="s">
        <v>360</v>
      </c>
      <c r="B40" t="s">
        <v>361</v>
      </c>
      <c r="D40" t="s">
        <v>772</v>
      </c>
      <c r="E40" t="s">
        <v>26</v>
      </c>
      <c r="F40" s="6">
        <v>46118</v>
      </c>
      <c r="G40">
        <v>172.53</v>
      </c>
      <c r="H40" t="s">
        <v>28</v>
      </c>
      <c r="I40">
        <f t="shared" si="2"/>
        <v>1</v>
      </c>
      <c r="J40">
        <f>COUNTIFS(A$2:A40,A40,B$2:B40,B40,C$2:C40,IF(C40="","=",C40),D$2:D40,IF(D40="","=",D40),E$2:E40,IF(E40="","=",E40),F$2:F40,F40,G$2:G40,IF(G40="","=",G40),H$2:H40,H40)</f>
        <v>1</v>
      </c>
      <c r="K40" t="str">
        <f t="shared" si="3"/>
        <v>Needs Review</v>
      </c>
      <c r="M40" s="5"/>
    </row>
    <row r="41" spans="1:13" x14ac:dyDescent="0.2">
      <c r="A41" t="s">
        <v>464</v>
      </c>
      <c r="B41" t="s">
        <v>711</v>
      </c>
      <c r="C41" t="s">
        <v>466</v>
      </c>
      <c r="D41" t="s">
        <v>792</v>
      </c>
      <c r="E41" t="s">
        <v>62</v>
      </c>
      <c r="F41" s="6">
        <v>46118</v>
      </c>
      <c r="G41">
        <v>309.19</v>
      </c>
      <c r="H41" t="s">
        <v>28</v>
      </c>
      <c r="I41">
        <f t="shared" si="2"/>
        <v>1</v>
      </c>
      <c r="J41">
        <f>COUNTIFS(A$2:A41,A41,B$2:B41,B41,C$2:C41,IF(C41="","=",C41),D$2:D41,IF(D41="","=",D41),E$2:E41,IF(E41="","=",E41),F$2:F41,F41,G$2:G41,IF(G41="","=",G41),H$2:H41,H41)</f>
        <v>1</v>
      </c>
      <c r="K41" t="str">
        <f t="shared" si="3"/>
        <v>Valid</v>
      </c>
      <c r="M41" s="5"/>
    </row>
    <row r="42" spans="1:13" x14ac:dyDescent="0.2">
      <c r="A42" t="s">
        <v>455</v>
      </c>
      <c r="B42" t="s">
        <v>456</v>
      </c>
      <c r="C42" t="s">
        <v>457</v>
      </c>
      <c r="D42" t="s">
        <v>790</v>
      </c>
      <c r="E42" t="s">
        <v>833</v>
      </c>
      <c r="F42" s="6">
        <v>46121</v>
      </c>
      <c r="G42">
        <v>305.63</v>
      </c>
      <c r="H42" t="s">
        <v>91</v>
      </c>
      <c r="I42">
        <f t="shared" si="2"/>
        <v>1</v>
      </c>
      <c r="J42">
        <f>COUNTIFS(A$2:A42,A42,B$2:B42,B42,C$2:C42,IF(C42="","=",C42),D$2:D42,IF(D42="","=",D42),E$2:E42,IF(E42="","=",E42),F$2:F42,F42,G$2:G42,IF(G42="","=",G42),H$2:H42,H42)</f>
        <v>1</v>
      </c>
      <c r="K42" t="str">
        <f t="shared" si="3"/>
        <v>Valid</v>
      </c>
      <c r="M42" s="5"/>
    </row>
    <row r="43" spans="1:13" x14ac:dyDescent="0.2">
      <c r="A43" t="s">
        <v>92</v>
      </c>
      <c r="B43" t="s">
        <v>93</v>
      </c>
      <c r="C43" t="s">
        <v>94</v>
      </c>
      <c r="D43" t="s">
        <v>726</v>
      </c>
      <c r="E43" t="s">
        <v>69</v>
      </c>
      <c r="F43" s="6">
        <v>46124</v>
      </c>
      <c r="G43">
        <v>213.82</v>
      </c>
      <c r="H43" t="s">
        <v>28</v>
      </c>
      <c r="I43">
        <f t="shared" si="2"/>
        <v>1</v>
      </c>
      <c r="J43">
        <f>COUNTIFS(A$2:A43,A43,B$2:B43,B43,C$2:C43,IF(C43="","=",C43),D$2:D43,IF(D43="","=",D43),E$2:E43,IF(E43="","=",E43),F$2:F43,F43,G$2:G43,IF(G43="","=",G43),H$2:H43,H43)</f>
        <v>1</v>
      </c>
      <c r="K43" t="str">
        <f t="shared" si="3"/>
        <v>Valid</v>
      </c>
      <c r="M43" s="5"/>
    </row>
    <row r="44" spans="1:13" x14ac:dyDescent="0.2">
      <c r="A44" t="s">
        <v>379</v>
      </c>
      <c r="B44" t="s">
        <v>380</v>
      </c>
      <c r="D44" t="s">
        <v>775</v>
      </c>
      <c r="E44" t="s">
        <v>45</v>
      </c>
      <c r="F44" s="6">
        <v>46125</v>
      </c>
      <c r="G44">
        <v>208.35</v>
      </c>
      <c r="H44" t="s">
        <v>91</v>
      </c>
      <c r="I44">
        <f t="shared" si="2"/>
        <v>1</v>
      </c>
      <c r="J44">
        <f>COUNTIFS(A$2:A44,A44,B$2:B44,B44,C$2:C44,IF(C44="","=",C44),D$2:D44,IF(D44="","=",D44),E$2:E44,IF(E44="","=",E44),F$2:F44,F44,G$2:G44,IF(G44="","=",G44),H$2:H44,H44)</f>
        <v>1</v>
      </c>
      <c r="K44" t="str">
        <f t="shared" si="3"/>
        <v>Needs Review</v>
      </c>
      <c r="M44" s="5"/>
    </row>
    <row r="45" spans="1:13" x14ac:dyDescent="0.2">
      <c r="A45" t="s">
        <v>446</v>
      </c>
      <c r="B45" t="s">
        <v>430</v>
      </c>
      <c r="C45" t="s">
        <v>447</v>
      </c>
      <c r="D45" t="s">
        <v>788</v>
      </c>
      <c r="E45" t="s">
        <v>62</v>
      </c>
      <c r="F45" s="6">
        <v>46127</v>
      </c>
      <c r="G45">
        <v>111.98</v>
      </c>
      <c r="H45" t="s">
        <v>28</v>
      </c>
      <c r="I45">
        <f t="shared" si="2"/>
        <v>1</v>
      </c>
      <c r="J45">
        <f>COUNTIFS(A$2:A45,A45,B$2:B45,B45,C$2:C45,IF(C45="","=",C45),D$2:D45,IF(D45="","=",D45),E$2:E45,IF(E45="","=",E45),F$2:F45,F45,G$2:G45,IF(G45="","=",G45),H$2:H45,H45)</f>
        <v>1</v>
      </c>
      <c r="K45" t="str">
        <f t="shared" si="3"/>
        <v>Valid</v>
      </c>
      <c r="M45" s="5"/>
    </row>
    <row r="46" spans="1:13" x14ac:dyDescent="0.2">
      <c r="A46" t="s">
        <v>250</v>
      </c>
      <c r="B46" t="s">
        <v>36</v>
      </c>
      <c r="C46" t="s">
        <v>251</v>
      </c>
      <c r="D46" t="s">
        <v>252</v>
      </c>
      <c r="E46" t="s">
        <v>12</v>
      </c>
      <c r="F46" s="6">
        <v>46128</v>
      </c>
      <c r="G46">
        <v>226.45</v>
      </c>
      <c r="H46" t="s">
        <v>28</v>
      </c>
      <c r="I46">
        <f t="shared" si="2"/>
        <v>1</v>
      </c>
      <c r="J46">
        <f>COUNTIFS(A$2:A46,A46,B$2:B46,B46,C$2:C46,IF(C46="","=",C46),D$2:D46,IF(D46="","=",D46),E$2:E46,IF(E46="","=",E46),F$2:F46,F46,G$2:G46,IF(G46="","=",G46),H$2:H46,H46)</f>
        <v>1</v>
      </c>
      <c r="K46" t="str">
        <f t="shared" si="3"/>
        <v>Valid</v>
      </c>
      <c r="M46" s="5"/>
    </row>
    <row r="47" spans="1:13" x14ac:dyDescent="0.2">
      <c r="A47" t="s">
        <v>321</v>
      </c>
      <c r="B47" t="s">
        <v>322</v>
      </c>
      <c r="C47" t="s">
        <v>323</v>
      </c>
      <c r="D47" t="s">
        <v>765</v>
      </c>
      <c r="E47" t="s">
        <v>69</v>
      </c>
      <c r="F47" s="6">
        <v>46129</v>
      </c>
      <c r="G47">
        <v>300.52999999999997</v>
      </c>
      <c r="H47" t="s">
        <v>91</v>
      </c>
      <c r="I47">
        <f t="shared" si="2"/>
        <v>1</v>
      </c>
      <c r="J47">
        <f>COUNTIFS(A$2:A47,A47,B$2:B47,B47,C$2:C47,IF(C47="","=",C47),D$2:D47,IF(D47="","=",D47),E$2:E47,IF(E47="","=",E47),F$2:F47,F47,G$2:G47,IF(G47="","=",G47),H$2:H47,H47)</f>
        <v>1</v>
      </c>
      <c r="K47" t="str">
        <f t="shared" si="3"/>
        <v>Valid</v>
      </c>
      <c r="M47" s="5"/>
    </row>
    <row r="48" spans="1:13" x14ac:dyDescent="0.2">
      <c r="A48" t="s">
        <v>674</v>
      </c>
      <c r="B48" t="s">
        <v>675</v>
      </c>
      <c r="D48" t="s">
        <v>832</v>
      </c>
      <c r="E48" t="s">
        <v>62</v>
      </c>
      <c r="F48" s="6">
        <v>46129</v>
      </c>
      <c r="G48">
        <v>204.08</v>
      </c>
      <c r="H48" t="s">
        <v>21</v>
      </c>
      <c r="I48">
        <f t="shared" si="2"/>
        <v>1</v>
      </c>
      <c r="J48">
        <f>COUNTIFS(A$2:A48,A48,B$2:B48,B48,C$2:C48,IF(C48="","=",C48),D$2:D48,IF(D48="","=",D48),E$2:E48,IF(E48="","=",E48),F$2:F48,F48,G$2:G48,IF(G48="","=",G48),H$2:H48,H48)</f>
        <v>1</v>
      </c>
      <c r="K48" t="str">
        <f t="shared" si="3"/>
        <v>Needs Review</v>
      </c>
      <c r="M48" s="5"/>
    </row>
    <row r="49" spans="1:13" x14ac:dyDescent="0.2">
      <c r="A49" t="s">
        <v>167</v>
      </c>
      <c r="B49" t="s">
        <v>168</v>
      </c>
      <c r="C49" t="s">
        <v>169</v>
      </c>
      <c r="D49" t="s">
        <v>739</v>
      </c>
      <c r="E49" t="s">
        <v>50</v>
      </c>
      <c r="F49" s="6">
        <v>46131</v>
      </c>
      <c r="G49">
        <v>139.19</v>
      </c>
      <c r="H49" t="s">
        <v>28</v>
      </c>
      <c r="I49">
        <f t="shared" si="2"/>
        <v>1</v>
      </c>
      <c r="J49">
        <f>COUNTIFS(A$2:A49,A49,B$2:B49,B49,C$2:C49,IF(C49="","=",C49),D$2:D49,IF(D49="","=",D49),E$2:E49,IF(E49="","=",E49),F$2:F49,F49,G$2:G49,IF(G49="","=",G49),H$2:H49,H49)</f>
        <v>1</v>
      </c>
      <c r="K49" t="str">
        <f t="shared" si="3"/>
        <v>Valid</v>
      </c>
      <c r="M49" s="5"/>
    </row>
    <row r="50" spans="1:13" x14ac:dyDescent="0.2">
      <c r="A50" t="s">
        <v>442</v>
      </c>
      <c r="B50" t="s">
        <v>710</v>
      </c>
      <c r="C50" t="s">
        <v>444</v>
      </c>
      <c r="D50" t="s">
        <v>787</v>
      </c>
      <c r="E50" t="s">
        <v>69</v>
      </c>
      <c r="F50" s="6">
        <v>46131</v>
      </c>
      <c r="G50">
        <v>20.5</v>
      </c>
      <c r="H50" t="s">
        <v>28</v>
      </c>
      <c r="I50">
        <f t="shared" si="2"/>
        <v>1</v>
      </c>
      <c r="J50">
        <f>COUNTIFS(A$2:A50,A50,B$2:B50,B50,C$2:C50,IF(C50="","=",C50),D$2:D50,IF(D50="","=",D50),E$2:E50,IF(E50="","=",E50),F$2:F50,F50,G$2:G50,IF(G50="","=",G50),H$2:H50,H50)</f>
        <v>1</v>
      </c>
      <c r="K50" t="str">
        <f t="shared" si="3"/>
        <v>Valid</v>
      </c>
      <c r="M50" s="5"/>
    </row>
    <row r="51" spans="1:13" x14ac:dyDescent="0.2">
      <c r="A51" t="s">
        <v>8</v>
      </c>
      <c r="B51" t="s">
        <v>9</v>
      </c>
      <c r="C51" t="s">
        <v>10</v>
      </c>
      <c r="D51" t="s">
        <v>713</v>
      </c>
      <c r="E51" t="s">
        <v>12</v>
      </c>
      <c r="F51" s="6">
        <v>46133</v>
      </c>
      <c r="G51">
        <v>241.95</v>
      </c>
      <c r="H51" t="s">
        <v>14</v>
      </c>
      <c r="I51">
        <f t="shared" si="2"/>
        <v>1</v>
      </c>
      <c r="J51">
        <f>COUNTIFS(A$2:A51,A51,B$2:B51,B51,C$2:C51,IF(C51="","=",C51),D$2:D51,IF(D51="","=",D51),E$2:E51,IF(E51="","=",E51),F$2:F51,F51,G$2:G51,IF(G51="","=",G51),H$2:H51,H51)</f>
        <v>1</v>
      </c>
      <c r="K51" t="str">
        <f t="shared" si="3"/>
        <v>Valid</v>
      </c>
      <c r="M51" s="5"/>
    </row>
    <row r="52" spans="1:13" x14ac:dyDescent="0.2">
      <c r="A52" t="s">
        <v>342</v>
      </c>
      <c r="B52" t="s">
        <v>343</v>
      </c>
      <c r="C52" t="s">
        <v>344</v>
      </c>
      <c r="D52" t="s">
        <v>768</v>
      </c>
      <c r="E52" t="s">
        <v>833</v>
      </c>
      <c r="F52" s="6">
        <v>46133</v>
      </c>
      <c r="G52">
        <v>148.49</v>
      </c>
      <c r="H52" t="s">
        <v>14</v>
      </c>
      <c r="I52">
        <f t="shared" si="2"/>
        <v>1</v>
      </c>
      <c r="J52">
        <f>COUNTIFS(A$2:A52,A52,B$2:B52,B52,C$2:C52,IF(C52="","=",C52),D$2:D52,IF(D52="","=",D52),E$2:E52,IF(E52="","=",E52),F$2:F52,F52,G$2:G52,IF(G52="","=",G52),H$2:H52,H52)</f>
        <v>1</v>
      </c>
      <c r="K52" t="str">
        <f t="shared" si="3"/>
        <v>Valid</v>
      </c>
      <c r="M52" s="5"/>
    </row>
    <row r="53" spans="1:13" x14ac:dyDescent="0.2">
      <c r="A53" t="s">
        <v>47</v>
      </c>
      <c r="B53" t="s">
        <v>48</v>
      </c>
      <c r="D53" t="s">
        <v>718</v>
      </c>
      <c r="E53" t="s">
        <v>50</v>
      </c>
      <c r="F53" s="6">
        <v>46136</v>
      </c>
      <c r="G53">
        <v>116.07</v>
      </c>
      <c r="H53" t="s">
        <v>21</v>
      </c>
      <c r="I53">
        <f t="shared" si="2"/>
        <v>1</v>
      </c>
      <c r="J53">
        <f>COUNTIFS(A$2:A53,A53,B$2:B53,B53,C$2:C53,IF(C53="","=",C53),D$2:D53,IF(D53="","=",D53),E$2:E53,IF(E53="","=",E53),F$2:F53,F53,G$2:G53,IF(G53="","=",G53),H$2:H53,H53)</f>
        <v>1</v>
      </c>
      <c r="K53" t="str">
        <f t="shared" si="3"/>
        <v>Needs Review</v>
      </c>
      <c r="M53" s="5"/>
    </row>
    <row r="54" spans="1:13" x14ac:dyDescent="0.2">
      <c r="A54" t="s">
        <v>511</v>
      </c>
      <c r="B54" t="s">
        <v>512</v>
      </c>
      <c r="C54" t="s">
        <v>513</v>
      </c>
      <c r="D54" t="s">
        <v>802</v>
      </c>
      <c r="E54" t="s">
        <v>56</v>
      </c>
      <c r="F54" s="6">
        <v>46136</v>
      </c>
      <c r="G54">
        <v>287.64999999999998</v>
      </c>
      <c r="H54" t="s">
        <v>28</v>
      </c>
      <c r="I54">
        <f t="shared" si="2"/>
        <v>1</v>
      </c>
      <c r="J54">
        <f>COUNTIFS(A$2:A54,A54,B$2:B54,B54,C$2:C54,IF(C54="","=",C54),D$2:D54,IF(D54="","=",D54),E$2:E54,IF(E54="","=",E54),F$2:F54,F54,G$2:G54,IF(G54="","=",G54),H$2:H54,H54)</f>
        <v>1</v>
      </c>
      <c r="K54" t="str">
        <f t="shared" si="3"/>
        <v>Valid</v>
      </c>
      <c r="M54" s="5"/>
    </row>
    <row r="55" spans="1:13" x14ac:dyDescent="0.2">
      <c r="A55" t="s">
        <v>86</v>
      </c>
      <c r="B55" t="s">
        <v>87</v>
      </c>
      <c r="C55" t="s">
        <v>88</v>
      </c>
      <c r="D55" t="s">
        <v>725</v>
      </c>
      <c r="E55" t="s">
        <v>50</v>
      </c>
      <c r="F55" s="6">
        <v>46137</v>
      </c>
      <c r="G55">
        <v>217.26</v>
      </c>
      <c r="H55" t="s">
        <v>91</v>
      </c>
      <c r="I55">
        <f t="shared" si="2"/>
        <v>1</v>
      </c>
      <c r="J55">
        <f>COUNTIFS(A$2:A55,A55,B$2:B55,B55,C$2:C55,IF(C55="","=",C55),D$2:D55,IF(D55="","=",D55),E$2:E55,IF(E55="","=",E55),F$2:F55,F55,G$2:G55,IF(G55="","=",G55),H$2:H55,H55)</f>
        <v>1</v>
      </c>
      <c r="K55" t="str">
        <f t="shared" si="3"/>
        <v>Valid</v>
      </c>
      <c r="M55" s="5"/>
    </row>
    <row r="56" spans="1:13" x14ac:dyDescent="0.2">
      <c r="A56" t="s">
        <v>182</v>
      </c>
      <c r="B56" t="s">
        <v>183</v>
      </c>
      <c r="C56" t="s">
        <v>184</v>
      </c>
      <c r="D56" t="s">
        <v>185</v>
      </c>
      <c r="E56" t="s">
        <v>50</v>
      </c>
      <c r="F56" s="6">
        <v>46137</v>
      </c>
      <c r="G56">
        <v>86.73</v>
      </c>
      <c r="H56" t="s">
        <v>14</v>
      </c>
      <c r="I56">
        <f t="shared" si="2"/>
        <v>1</v>
      </c>
      <c r="J56">
        <f>COUNTIFS(A$2:A56,A56,B$2:B56,B56,C$2:C56,IF(C56="","=",C56),D$2:D56,IF(D56="","=",D56),E$2:E56,IF(E56="","=",E56),F$2:F56,F56,G$2:G56,IF(G56="","=",G56),H$2:H56,H56)</f>
        <v>1</v>
      </c>
      <c r="K56" t="str">
        <f t="shared" si="3"/>
        <v>Valid</v>
      </c>
      <c r="M56" s="5"/>
    </row>
    <row r="57" spans="1:13" x14ac:dyDescent="0.2">
      <c r="A57" t="s">
        <v>437</v>
      </c>
      <c r="B57" t="s">
        <v>438</v>
      </c>
      <c r="C57" t="s">
        <v>439</v>
      </c>
      <c r="D57" t="s">
        <v>786</v>
      </c>
      <c r="E57" t="s">
        <v>26</v>
      </c>
      <c r="F57" s="6">
        <v>46139</v>
      </c>
      <c r="G57">
        <v>66.599999999999994</v>
      </c>
      <c r="H57" t="s">
        <v>369</v>
      </c>
      <c r="I57">
        <f t="shared" si="2"/>
        <v>1</v>
      </c>
      <c r="J57">
        <f>COUNTIFS(A$2:A57,A57,B$2:B57,B57,C$2:C57,IF(C57="","=",C57),D$2:D57,IF(D57="","=",D57),E$2:E57,IF(E57="","=",E57),F$2:F57,F57,G$2:G57,IF(G57="","=",G57),H$2:H57,H57)</f>
        <v>1</v>
      </c>
      <c r="K57" t="str">
        <f t="shared" si="3"/>
        <v>Valid</v>
      </c>
      <c r="M57" s="5"/>
    </row>
    <row r="58" spans="1:13" x14ac:dyDescent="0.2">
      <c r="A58" t="s">
        <v>655</v>
      </c>
      <c r="B58" t="s">
        <v>656</v>
      </c>
      <c r="C58" t="s">
        <v>657</v>
      </c>
      <c r="D58" t="s">
        <v>828</v>
      </c>
      <c r="E58" t="s">
        <v>50</v>
      </c>
      <c r="F58" s="6">
        <v>46143</v>
      </c>
      <c r="G58">
        <v>330.94</v>
      </c>
      <c r="H58" t="s">
        <v>21</v>
      </c>
      <c r="I58">
        <f t="shared" si="2"/>
        <v>1</v>
      </c>
      <c r="J58">
        <f>COUNTIFS(A$2:A58,A58,B$2:B58,B58,C$2:C58,IF(C58="","=",C58),D$2:D58,IF(D58="","=",D58),E$2:E58,IF(E58="","=",E58),F$2:F58,F58,G$2:G58,IF(G58="","=",G58),H$2:H58,H58)</f>
        <v>1</v>
      </c>
      <c r="K58" t="str">
        <f t="shared" si="3"/>
        <v>Valid</v>
      </c>
      <c r="M58" s="5"/>
    </row>
    <row r="59" spans="1:13" x14ac:dyDescent="0.2">
      <c r="A59" t="s">
        <v>233</v>
      </c>
      <c r="B59" t="s">
        <v>234</v>
      </c>
      <c r="C59" t="s">
        <v>235</v>
      </c>
      <c r="D59" t="s">
        <v>751</v>
      </c>
      <c r="E59" t="s">
        <v>50</v>
      </c>
      <c r="F59" s="6">
        <v>46146</v>
      </c>
      <c r="G59">
        <v>140.69</v>
      </c>
      <c r="H59" t="s">
        <v>176</v>
      </c>
      <c r="I59">
        <f t="shared" si="2"/>
        <v>1</v>
      </c>
      <c r="J59">
        <f>COUNTIFS(A$2:A59,A59,B$2:B59,B59,C$2:C59,IF(C59="","=",C59),D$2:D59,IF(D59="","=",D59),E$2:E59,IF(E59="","=",E59),F$2:F59,F59,G$2:G59,IF(G59="","=",G59),H$2:H59,H59)</f>
        <v>1</v>
      </c>
      <c r="K59" t="str">
        <f t="shared" si="3"/>
        <v>Valid</v>
      </c>
      <c r="M59" s="5"/>
    </row>
    <row r="60" spans="1:13" x14ac:dyDescent="0.2">
      <c r="A60" t="s">
        <v>528</v>
      </c>
      <c r="B60" t="s">
        <v>529</v>
      </c>
      <c r="C60" t="s">
        <v>530</v>
      </c>
      <c r="D60" t="s">
        <v>805</v>
      </c>
      <c r="E60" t="s">
        <v>62</v>
      </c>
      <c r="F60" s="6">
        <v>46148</v>
      </c>
      <c r="H60" t="s">
        <v>14</v>
      </c>
      <c r="I60">
        <f t="shared" si="2"/>
        <v>1</v>
      </c>
      <c r="J60">
        <f>COUNTIFS(A$2:A60,A60,B$2:B60,B60,C$2:C60,IF(C60="","=",C60),D$2:D60,IF(D60="","=",D60),E$2:E60,IF(E60="","=",E60),F$2:F60,F60,G$2:G60,IF(G60="","=",G60),H$2:H60,H60)</f>
        <v>1</v>
      </c>
      <c r="K60" t="str">
        <f t="shared" si="3"/>
        <v>Needs Review</v>
      </c>
      <c r="M60" s="5"/>
    </row>
    <row r="61" spans="1:13" x14ac:dyDescent="0.2">
      <c r="A61" t="s">
        <v>186</v>
      </c>
      <c r="B61" t="s">
        <v>187</v>
      </c>
      <c r="C61" t="s">
        <v>188</v>
      </c>
      <c r="D61" t="s">
        <v>742</v>
      </c>
      <c r="E61" t="s">
        <v>833</v>
      </c>
      <c r="F61" s="6">
        <v>46149</v>
      </c>
      <c r="G61">
        <v>60.02</v>
      </c>
      <c r="H61" t="s">
        <v>21</v>
      </c>
      <c r="I61">
        <f t="shared" si="2"/>
        <v>1</v>
      </c>
      <c r="J61">
        <f>COUNTIFS(A$2:A61,A61,B$2:B61,B61,C$2:C61,IF(C61="","=",C61),D$2:D61,IF(D61="","=",D61),E$2:E61,IF(E61="","=",E61),F$2:F61,F61,G$2:G61,IF(G61="","=",G61),H$2:H61,H61)</f>
        <v>1</v>
      </c>
      <c r="K61" t="str">
        <f t="shared" si="3"/>
        <v>Valid</v>
      </c>
      <c r="M61" s="5"/>
    </row>
    <row r="62" spans="1:13" x14ac:dyDescent="0.2">
      <c r="A62" t="s">
        <v>559</v>
      </c>
      <c r="B62" t="s">
        <v>178</v>
      </c>
      <c r="C62" t="s">
        <v>560</v>
      </c>
      <c r="D62" t="s">
        <v>561</v>
      </c>
      <c r="E62" t="s">
        <v>50</v>
      </c>
      <c r="F62" s="6">
        <v>46149</v>
      </c>
      <c r="G62">
        <v>334.37</v>
      </c>
      <c r="H62" t="s">
        <v>331</v>
      </c>
      <c r="I62">
        <f t="shared" si="2"/>
        <v>1</v>
      </c>
      <c r="J62">
        <f>COUNTIFS(A$2:A62,A62,B$2:B62,B62,C$2:C62,IF(C62="","=",C62),D$2:D62,IF(D62="","=",D62),E$2:E62,IF(E62="","=",E62),F$2:F62,F62,G$2:G62,IF(G62="","=",G62),H$2:H62,H62)</f>
        <v>1</v>
      </c>
      <c r="K62" t="str">
        <f t="shared" si="3"/>
        <v>Valid</v>
      </c>
      <c r="M62" s="5"/>
    </row>
    <row r="63" spans="1:13" x14ac:dyDescent="0.2">
      <c r="A63" t="s">
        <v>143</v>
      </c>
      <c r="B63" t="s">
        <v>707</v>
      </c>
      <c r="C63" t="s">
        <v>145</v>
      </c>
      <c r="D63" t="s">
        <v>146</v>
      </c>
      <c r="E63" t="s">
        <v>12</v>
      </c>
      <c r="F63" s="6">
        <v>46153</v>
      </c>
      <c r="G63">
        <v>97.79</v>
      </c>
      <c r="H63" t="s">
        <v>91</v>
      </c>
      <c r="I63">
        <f t="shared" si="2"/>
        <v>1</v>
      </c>
      <c r="J63">
        <f>COUNTIFS(A$2:A63,A63,B$2:B63,B63,C$2:C63,IF(C63="","=",C63),D$2:D63,IF(D63="","=",D63),E$2:E63,IF(E63="","=",E63),F$2:F63,F63,G$2:G63,IF(G63="","=",G63),H$2:H63,H63)</f>
        <v>1</v>
      </c>
      <c r="K63" t="str">
        <f t="shared" si="3"/>
        <v>Valid</v>
      </c>
      <c r="M63" s="5"/>
    </row>
    <row r="64" spans="1:13" x14ac:dyDescent="0.2">
      <c r="A64" t="s">
        <v>571</v>
      </c>
      <c r="B64" t="s">
        <v>572</v>
      </c>
      <c r="C64" t="s">
        <v>573</v>
      </c>
      <c r="D64" t="s">
        <v>813</v>
      </c>
      <c r="E64" t="s">
        <v>62</v>
      </c>
      <c r="F64" s="6">
        <v>46154</v>
      </c>
      <c r="G64">
        <v>39.82</v>
      </c>
      <c r="H64" t="s">
        <v>21</v>
      </c>
      <c r="I64">
        <f t="shared" si="2"/>
        <v>1</v>
      </c>
      <c r="J64">
        <f>COUNTIFS(A$2:A64,A64,B$2:B64,B64,C$2:C64,IF(C64="","=",C64),D$2:D64,IF(D64="","=",D64),E$2:E64,IF(E64="","=",E64),F$2:F64,F64,G$2:G64,IF(G64="","=",G64),H$2:H64,H64)</f>
        <v>1</v>
      </c>
      <c r="K64" t="str">
        <f t="shared" si="3"/>
        <v>Valid</v>
      </c>
      <c r="M64" s="5"/>
    </row>
    <row r="65" spans="1:13" x14ac:dyDescent="0.2">
      <c r="A65" t="s">
        <v>311</v>
      </c>
      <c r="B65" t="s">
        <v>312</v>
      </c>
      <c r="C65" t="s">
        <v>313</v>
      </c>
      <c r="D65" t="s">
        <v>763</v>
      </c>
      <c r="E65" t="s">
        <v>12</v>
      </c>
      <c r="F65" s="6">
        <v>46157</v>
      </c>
      <c r="G65">
        <v>341.31</v>
      </c>
      <c r="H65" t="s">
        <v>21</v>
      </c>
      <c r="I65">
        <f t="shared" si="2"/>
        <v>1</v>
      </c>
      <c r="J65">
        <f>COUNTIFS(A$2:A65,A65,B$2:B65,B65,C$2:C65,IF(C65="","=",C65),D$2:D65,IF(D65="","=",D65),E$2:E65,IF(E65="","=",E65),F$2:F65,F65,G$2:G65,IF(G65="","=",G65),H$2:H65,H65)</f>
        <v>1</v>
      </c>
      <c r="K65" t="str">
        <f t="shared" si="3"/>
        <v>Valid</v>
      </c>
      <c r="M65" s="5"/>
    </row>
    <row r="66" spans="1:13" x14ac:dyDescent="0.2">
      <c r="A66" t="s">
        <v>546</v>
      </c>
      <c r="B66" t="s">
        <v>48</v>
      </c>
      <c r="C66" t="s">
        <v>547</v>
      </c>
      <c r="D66" t="s">
        <v>809</v>
      </c>
      <c r="E66" t="s">
        <v>62</v>
      </c>
      <c r="F66" s="6">
        <v>46157</v>
      </c>
      <c r="G66">
        <v>126.71</v>
      </c>
      <c r="H66" t="s">
        <v>14</v>
      </c>
      <c r="I66">
        <f t="shared" ref="I66:I97" si="4">COUNTIF($A$2:$A$141,A66)</f>
        <v>1</v>
      </c>
      <c r="J66">
        <f>COUNTIFS(A$2:A66,A66,B$2:B66,B66,C$2:C66,IF(C66="","=",C66),D$2:D66,IF(D66="","=",D66),E$2:E66,IF(E66="","=",E66),F$2:F66,F66,G$2:G66,IF(G66="","=",G66),H$2:H66,H66)</f>
        <v>1</v>
      </c>
      <c r="K66" t="str">
        <f t="shared" ref="K66:K97" si="5">IF(OR(C66="",G66="",NOT(ISNUMBER(G66)),AND(ISNUMBER(G66),G66&lt;=0)),"Needs Review","Valid")</f>
        <v>Valid</v>
      </c>
      <c r="M66" s="5"/>
    </row>
    <row r="67" spans="1:13" x14ac:dyDescent="0.2">
      <c r="A67" t="s">
        <v>297</v>
      </c>
      <c r="B67" t="s">
        <v>298</v>
      </c>
      <c r="C67" t="s">
        <v>299</v>
      </c>
      <c r="D67" t="s">
        <v>760</v>
      </c>
      <c r="E67" t="s">
        <v>62</v>
      </c>
      <c r="F67" s="6">
        <v>46159</v>
      </c>
      <c r="H67" t="s">
        <v>28</v>
      </c>
      <c r="I67">
        <f t="shared" si="4"/>
        <v>1</v>
      </c>
      <c r="J67">
        <f>COUNTIFS(A$2:A67,A67,B$2:B67,B67,C$2:C67,IF(C67="","=",C67),D$2:D67,IF(D67="","=",D67),E$2:E67,IF(E67="","=",E67),F$2:F67,F67,G$2:G67,IF(G67="","=",G67),H$2:H67,H67)</f>
        <v>1</v>
      </c>
      <c r="K67" t="str">
        <f t="shared" si="5"/>
        <v>Needs Review</v>
      </c>
      <c r="M67" s="5"/>
    </row>
    <row r="68" spans="1:13" x14ac:dyDescent="0.2">
      <c r="A68" t="s">
        <v>356</v>
      </c>
      <c r="B68" t="s">
        <v>709</v>
      </c>
      <c r="C68" t="s">
        <v>358</v>
      </c>
      <c r="D68" t="s">
        <v>771</v>
      </c>
      <c r="E68" t="s">
        <v>69</v>
      </c>
      <c r="F68" s="6">
        <v>46159</v>
      </c>
      <c r="G68">
        <v>343.08</v>
      </c>
      <c r="H68" t="s">
        <v>28</v>
      </c>
      <c r="I68">
        <f t="shared" si="4"/>
        <v>1</v>
      </c>
      <c r="J68">
        <f>COUNTIFS(A$2:A68,A68,B$2:B68,B68,C$2:C68,IF(C68="","=",C68),D$2:D68,IF(D68="","=",D68),E$2:E68,IF(E68="","=",E68),F$2:F68,F68,G$2:G68,IF(G68="","=",G68),H$2:H68,H68)</f>
        <v>1</v>
      </c>
      <c r="K68" t="str">
        <f t="shared" si="5"/>
        <v>Valid</v>
      </c>
      <c r="M68" s="5"/>
    </row>
    <row r="69" spans="1:13" x14ac:dyDescent="0.2">
      <c r="A69" t="s">
        <v>424</v>
      </c>
      <c r="B69" t="s">
        <v>425</v>
      </c>
      <c r="C69" t="s">
        <v>426</v>
      </c>
      <c r="D69" t="s">
        <v>783</v>
      </c>
      <c r="E69" t="s">
        <v>56</v>
      </c>
      <c r="F69" s="6">
        <v>46159</v>
      </c>
      <c r="G69">
        <v>298.58</v>
      </c>
      <c r="H69" t="s">
        <v>21</v>
      </c>
      <c r="I69">
        <f t="shared" si="4"/>
        <v>1</v>
      </c>
      <c r="J69">
        <f>COUNTIFS(A$2:A69,A69,B$2:B69,B69,C$2:C69,IF(C69="","=",C69),D$2:D69,IF(D69="","=",D69),E$2:E69,IF(E69="","=",E69),F$2:F69,F69,G$2:G69,IF(G69="","=",G69),H$2:H69,H69)</f>
        <v>1</v>
      </c>
      <c r="K69" t="str">
        <f t="shared" si="5"/>
        <v>Valid</v>
      </c>
      <c r="M69" s="5"/>
    </row>
    <row r="70" spans="1:13" x14ac:dyDescent="0.2">
      <c r="A70" t="s">
        <v>651</v>
      </c>
      <c r="B70" t="s">
        <v>652</v>
      </c>
      <c r="C70" t="s">
        <v>653</v>
      </c>
      <c r="D70" t="s">
        <v>827</v>
      </c>
      <c r="E70" t="s">
        <v>62</v>
      </c>
      <c r="F70" s="6">
        <v>46159</v>
      </c>
      <c r="G70">
        <v>197.02</v>
      </c>
      <c r="H70" t="s">
        <v>14</v>
      </c>
      <c r="I70">
        <f t="shared" si="4"/>
        <v>1</v>
      </c>
      <c r="J70">
        <f>COUNTIFS(A$2:A70,A70,B$2:B70,B70,C$2:C70,IF(C70="","=",C70),D$2:D70,IF(D70="","=",D70),E$2:E70,IF(E70="","=",E70),F$2:F70,F70,G$2:G70,IF(G70="","=",G70),H$2:H70,H70)</f>
        <v>1</v>
      </c>
      <c r="K70" t="str">
        <f t="shared" si="5"/>
        <v>Valid</v>
      </c>
      <c r="M70" s="5"/>
    </row>
    <row r="71" spans="1:13" x14ac:dyDescent="0.2">
      <c r="A71" t="s">
        <v>346</v>
      </c>
      <c r="B71" t="s">
        <v>347</v>
      </c>
      <c r="C71" t="s">
        <v>348</v>
      </c>
      <c r="D71" t="s">
        <v>769</v>
      </c>
      <c r="E71" t="s">
        <v>33</v>
      </c>
      <c r="F71" s="6">
        <v>46160</v>
      </c>
      <c r="G71">
        <v>21.65</v>
      </c>
      <c r="H71" t="s">
        <v>91</v>
      </c>
      <c r="I71">
        <f t="shared" si="4"/>
        <v>1</v>
      </c>
      <c r="J71">
        <f>COUNTIFS(A$2:A71,A71,B$2:B71,B71,C$2:C71,IF(C71="","=",C71),D$2:D71,IF(D71="","=",D71),E$2:E71,IF(E71="","=",E71),F$2:F71,F71,G$2:G71,IF(G71="","=",G71),H$2:H71,H71)</f>
        <v>1</v>
      </c>
      <c r="K71" t="str">
        <f t="shared" si="5"/>
        <v>Valid</v>
      </c>
      <c r="M71" s="5"/>
    </row>
    <row r="72" spans="1:13" x14ac:dyDescent="0.2">
      <c r="A72" t="s">
        <v>460</v>
      </c>
      <c r="B72" t="s">
        <v>293</v>
      </c>
      <c r="C72" t="s">
        <v>461</v>
      </c>
      <c r="D72" t="s">
        <v>791</v>
      </c>
      <c r="E72" t="s">
        <v>33</v>
      </c>
      <c r="F72" s="6">
        <v>46161</v>
      </c>
      <c r="G72">
        <v>314.64</v>
      </c>
      <c r="H72" t="s">
        <v>14</v>
      </c>
      <c r="I72">
        <f t="shared" si="4"/>
        <v>1</v>
      </c>
      <c r="J72">
        <f>COUNTIFS(A$2:A72,A72,B$2:B72,B72,C$2:C72,IF(C72="","=",C72),D$2:D72,IF(D72="","=",D72),E$2:E72,IF(E72="","=",E72),F$2:F72,F72,G$2:G72,IF(G72="","=",G72),H$2:H72,H72)</f>
        <v>1</v>
      </c>
      <c r="K72" t="str">
        <f t="shared" si="5"/>
        <v>Valid</v>
      </c>
      <c r="M72" s="5"/>
    </row>
    <row r="73" spans="1:13" x14ac:dyDescent="0.2">
      <c r="A73" t="s">
        <v>216</v>
      </c>
      <c r="B73" t="s">
        <v>217</v>
      </c>
      <c r="C73" t="s">
        <v>218</v>
      </c>
      <c r="D73" t="s">
        <v>219</v>
      </c>
      <c r="E73" t="s">
        <v>62</v>
      </c>
      <c r="F73" s="6">
        <v>46163</v>
      </c>
      <c r="G73">
        <v>270.66000000000003</v>
      </c>
      <c r="H73" t="s">
        <v>64</v>
      </c>
      <c r="I73">
        <f t="shared" si="4"/>
        <v>1</v>
      </c>
      <c r="J73">
        <f>COUNTIFS(A$2:A73,A73,B$2:B73,B73,C$2:C73,IF(C73="","=",C73),D$2:D73,IF(D73="","=",D73),E$2:E73,IF(E73="","=",E73),F$2:F73,F73,G$2:G73,IF(G73="","=",G73),H$2:H73,H73)</f>
        <v>1</v>
      </c>
      <c r="K73" t="str">
        <f t="shared" si="5"/>
        <v>Valid</v>
      </c>
      <c r="M73" s="5"/>
    </row>
    <row r="74" spans="1:13" x14ac:dyDescent="0.2">
      <c r="A74" t="s">
        <v>468</v>
      </c>
      <c r="B74" t="s">
        <v>163</v>
      </c>
      <c r="C74" t="s">
        <v>469</v>
      </c>
      <c r="D74" t="s">
        <v>793</v>
      </c>
      <c r="E74" t="s">
        <v>69</v>
      </c>
      <c r="F74" s="6">
        <v>46163</v>
      </c>
      <c r="G74">
        <v>169</v>
      </c>
      <c r="H74" t="s">
        <v>91</v>
      </c>
      <c r="I74">
        <f t="shared" si="4"/>
        <v>1</v>
      </c>
      <c r="J74">
        <f>COUNTIFS(A$2:A74,A74,B$2:B74,B74,C$2:C74,IF(C74="","=",C74),D$2:D74,IF(D74="","=",D74),E$2:E74,IF(E74="","=",E74),F$2:F74,F74,G$2:G74,IF(G74="","=",G74),H$2:H74,H74)</f>
        <v>1</v>
      </c>
      <c r="K74" t="str">
        <f t="shared" si="5"/>
        <v>Valid</v>
      </c>
      <c r="M74" s="5"/>
    </row>
    <row r="75" spans="1:13" x14ac:dyDescent="0.2">
      <c r="A75" t="s">
        <v>538</v>
      </c>
      <c r="B75" t="s">
        <v>539</v>
      </c>
      <c r="C75" t="s">
        <v>540</v>
      </c>
      <c r="D75" t="s">
        <v>807</v>
      </c>
      <c r="E75" t="s">
        <v>62</v>
      </c>
      <c r="F75" s="6">
        <v>46163</v>
      </c>
      <c r="G75">
        <v>75.22</v>
      </c>
      <c r="H75" t="s">
        <v>91</v>
      </c>
      <c r="I75">
        <f t="shared" si="4"/>
        <v>1</v>
      </c>
      <c r="J75">
        <f>COUNTIFS(A$2:A75,A75,B$2:B75,B75,C$2:C75,IF(C75="","=",C75),D$2:D75,IF(D75="","=",D75),E$2:E75,IF(E75="","=",E75),F$2:F75,F75,G$2:G75,IF(G75="","=",G75),H$2:H75,H75)</f>
        <v>1</v>
      </c>
      <c r="K75" t="str">
        <f t="shared" si="5"/>
        <v>Valid</v>
      </c>
      <c r="M75" s="5"/>
    </row>
    <row r="76" spans="1:13" x14ac:dyDescent="0.2">
      <c r="A76" t="s">
        <v>71</v>
      </c>
      <c r="B76" t="s">
        <v>72</v>
      </c>
      <c r="C76" t="s">
        <v>73</v>
      </c>
      <c r="D76" t="s">
        <v>722</v>
      </c>
      <c r="E76" t="s">
        <v>45</v>
      </c>
      <c r="F76" s="6">
        <v>46164</v>
      </c>
      <c r="H76" t="s">
        <v>14</v>
      </c>
      <c r="I76">
        <f t="shared" si="4"/>
        <v>1</v>
      </c>
      <c r="J76">
        <f>COUNTIFS(A$2:A76,A76,B$2:B76,B76,C$2:C76,IF(C76="","=",C76),D$2:D76,IF(D76="","=",D76),E$2:E76,IF(E76="","=",E76),F$2:F76,F76,G$2:G76,IF(G76="","=",G76),H$2:H76,H76)</f>
        <v>1</v>
      </c>
      <c r="K76" t="str">
        <f t="shared" si="5"/>
        <v>Needs Review</v>
      </c>
      <c r="M76" s="5"/>
    </row>
    <row r="77" spans="1:13" x14ac:dyDescent="0.2">
      <c r="A77" t="s">
        <v>434</v>
      </c>
      <c r="B77" t="s">
        <v>66</v>
      </c>
      <c r="C77" t="s">
        <v>435</v>
      </c>
      <c r="D77" t="s">
        <v>785</v>
      </c>
      <c r="E77" t="s">
        <v>50</v>
      </c>
      <c r="F77" s="6">
        <v>46164</v>
      </c>
      <c r="G77">
        <v>102.57</v>
      </c>
      <c r="H77" t="s">
        <v>21</v>
      </c>
      <c r="I77">
        <f t="shared" si="4"/>
        <v>1</v>
      </c>
      <c r="J77">
        <f>COUNTIFS(A$2:A77,A77,B$2:B77,B77,C$2:C77,IF(C77="","=",C77),D$2:D77,IF(D77="","=",D77),E$2:E77,IF(E77="","=",E77),F$2:F77,F77,G$2:G77,IF(G77="","=",G77),H$2:H77,H77)</f>
        <v>1</v>
      </c>
      <c r="K77" t="str">
        <f t="shared" si="5"/>
        <v>Valid</v>
      </c>
      <c r="M77" s="5"/>
    </row>
    <row r="78" spans="1:13" x14ac:dyDescent="0.2">
      <c r="A78" t="s">
        <v>615</v>
      </c>
      <c r="B78" t="s">
        <v>616</v>
      </c>
      <c r="C78" t="s">
        <v>617</v>
      </c>
      <c r="D78" t="s">
        <v>821</v>
      </c>
      <c r="E78" t="s">
        <v>833</v>
      </c>
      <c r="F78" s="6">
        <v>46164</v>
      </c>
      <c r="G78">
        <v>148.81</v>
      </c>
      <c r="H78" t="s">
        <v>21</v>
      </c>
      <c r="I78">
        <f t="shared" si="4"/>
        <v>1</v>
      </c>
      <c r="J78">
        <f>COUNTIFS(A$2:A78,A78,B$2:B78,B78,C$2:C78,IF(C78="","=",C78),D$2:D78,IF(D78="","=",D78),E$2:E78,IF(E78="","=",E78),F$2:F78,F78,G$2:G78,IF(G78="","=",G78),H$2:H78,H78)</f>
        <v>1</v>
      </c>
      <c r="K78" t="str">
        <f t="shared" si="5"/>
        <v>Valid</v>
      </c>
      <c r="M78" s="5"/>
    </row>
    <row r="79" spans="1:13" x14ac:dyDescent="0.2">
      <c r="A79" t="s">
        <v>397</v>
      </c>
      <c r="B79" t="s">
        <v>398</v>
      </c>
      <c r="C79" t="s">
        <v>399</v>
      </c>
      <c r="D79" t="s">
        <v>778</v>
      </c>
      <c r="E79" t="s">
        <v>26</v>
      </c>
      <c r="F79" s="6">
        <v>46165</v>
      </c>
      <c r="G79">
        <v>136.22</v>
      </c>
      <c r="H79" t="s">
        <v>28</v>
      </c>
      <c r="I79">
        <f t="shared" si="4"/>
        <v>1</v>
      </c>
      <c r="J79">
        <f>COUNTIFS(A$2:A79,A79,B$2:B79,B79,C$2:C79,IF(C79="","=",C79),D$2:D79,IF(D79="","=",D79),E$2:E79,IF(E79="","=",E79),F$2:F79,F79,G$2:G79,IF(G79="","=",G79),H$2:H79,H79)</f>
        <v>1</v>
      </c>
      <c r="K79" t="str">
        <f t="shared" si="5"/>
        <v>Valid</v>
      </c>
      <c r="M79" s="5"/>
    </row>
    <row r="80" spans="1:13" x14ac:dyDescent="0.2">
      <c r="A80" t="s">
        <v>268</v>
      </c>
      <c r="B80" t="s">
        <v>269</v>
      </c>
      <c r="C80" t="s">
        <v>270</v>
      </c>
      <c r="D80" t="s">
        <v>755</v>
      </c>
      <c r="E80" t="s">
        <v>50</v>
      </c>
      <c r="F80" s="6">
        <v>46167</v>
      </c>
      <c r="G80">
        <v>221.76</v>
      </c>
      <c r="H80" t="s">
        <v>142</v>
      </c>
      <c r="I80">
        <f t="shared" si="4"/>
        <v>1</v>
      </c>
      <c r="J80">
        <f>COUNTIFS(A$2:A80,A80,B$2:B80,B80,C$2:C80,IF(C80="","=",C80),D$2:D80,IF(D80="","=",D80),E$2:E80,IF(E80="","=",E80),F$2:F80,F80,G$2:G80,IF(G80="","=",G80),H$2:H80,H80)</f>
        <v>1</v>
      </c>
      <c r="K80" t="str">
        <f t="shared" si="5"/>
        <v>Valid</v>
      </c>
      <c r="M80" s="5"/>
    </row>
    <row r="81" spans="1:13" x14ac:dyDescent="0.2">
      <c r="A81" t="s">
        <v>477</v>
      </c>
      <c r="B81" t="s">
        <v>312</v>
      </c>
      <c r="C81" t="s">
        <v>478</v>
      </c>
      <c r="D81" t="s">
        <v>795</v>
      </c>
      <c r="E81" t="s">
        <v>26</v>
      </c>
      <c r="F81" s="6">
        <v>46167</v>
      </c>
      <c r="G81">
        <v>337.76</v>
      </c>
      <c r="H81" t="s">
        <v>28</v>
      </c>
      <c r="I81">
        <f t="shared" si="4"/>
        <v>1</v>
      </c>
      <c r="J81">
        <f>COUNTIFS(A$2:A81,A81,B$2:B81,B81,C$2:C81,IF(C81="","=",C81),D$2:D81,IF(D81="","=",D81),E$2:E81,IF(E81="","=",E81),F$2:F81,F81,G$2:G81,IF(G81="","=",G81),H$2:H81,H81)</f>
        <v>1</v>
      </c>
      <c r="K81" t="str">
        <f t="shared" si="5"/>
        <v>Valid</v>
      </c>
      <c r="M81" s="5"/>
    </row>
    <row r="82" spans="1:13" x14ac:dyDescent="0.2">
      <c r="A82" t="s">
        <v>533</v>
      </c>
      <c r="B82" t="s">
        <v>279</v>
      </c>
      <c r="C82" t="s">
        <v>535</v>
      </c>
      <c r="D82" t="s">
        <v>806</v>
      </c>
      <c r="E82" t="s">
        <v>26</v>
      </c>
      <c r="F82" s="6">
        <v>46168</v>
      </c>
      <c r="G82">
        <v>316.77999999999997</v>
      </c>
      <c r="H82" t="s">
        <v>21</v>
      </c>
      <c r="I82">
        <f t="shared" si="4"/>
        <v>1</v>
      </c>
      <c r="J82">
        <f>COUNTIFS(A$2:A82,A82,B$2:B82,B82,C$2:C82,IF(C82="","=",C82),D$2:D82,IF(D82="","=",D82),E$2:E82,IF(E82="","=",E82),F$2:F82,F82,G$2:G82,IF(G82="","=",G82),H$2:H82,H82)</f>
        <v>1</v>
      </c>
      <c r="K82" t="str">
        <f t="shared" si="5"/>
        <v>Valid</v>
      </c>
      <c r="M82" s="5"/>
    </row>
    <row r="83" spans="1:13" x14ac:dyDescent="0.2">
      <c r="A83" t="s">
        <v>660</v>
      </c>
      <c r="B83" t="s">
        <v>661</v>
      </c>
      <c r="C83" t="s">
        <v>662</v>
      </c>
      <c r="D83" t="s">
        <v>829</v>
      </c>
      <c r="E83" t="s">
        <v>45</v>
      </c>
      <c r="F83" s="6">
        <v>46181</v>
      </c>
      <c r="G83">
        <v>142.28</v>
      </c>
      <c r="H83" t="s">
        <v>91</v>
      </c>
      <c r="I83">
        <f t="shared" si="4"/>
        <v>1</v>
      </c>
      <c r="J83">
        <f>COUNTIFS(A$2:A83,A83,B$2:B83,B83,C$2:C83,IF(C83="","=",C83),D$2:D83,IF(D83="","=",D83),E$2:E83,IF(E83="","=",E83),F$2:F83,F83,G$2:G83,IF(G83="","=",G83),H$2:H83,H83)</f>
        <v>1</v>
      </c>
      <c r="K83" t="str">
        <f t="shared" si="5"/>
        <v>Valid</v>
      </c>
      <c r="M83" s="5"/>
    </row>
    <row r="84" spans="1:13" x14ac:dyDescent="0.2">
      <c r="A84" t="s">
        <v>641</v>
      </c>
      <c r="B84" t="s">
        <v>642</v>
      </c>
      <c r="C84" t="s">
        <v>643</v>
      </c>
      <c r="D84" t="s">
        <v>826</v>
      </c>
      <c r="E84" t="s">
        <v>50</v>
      </c>
      <c r="F84" s="6">
        <v>46186</v>
      </c>
      <c r="G84">
        <v>317.64</v>
      </c>
      <c r="H84" t="s">
        <v>91</v>
      </c>
      <c r="I84">
        <f t="shared" si="4"/>
        <v>1</v>
      </c>
      <c r="J84">
        <f>COUNTIFS(A$2:A84,A84,B$2:B84,B84,C$2:C84,IF(C84="","=",C84),D$2:D84,IF(D84="","=",D84),E$2:E84,IF(E84="","=",E84),F$2:F84,F84,G$2:G84,IF(G84="","=",G84),H$2:H84,H84)</f>
        <v>1</v>
      </c>
      <c r="K84" t="str">
        <f t="shared" si="5"/>
        <v>Valid</v>
      </c>
      <c r="M84" s="5"/>
    </row>
    <row r="85" spans="1:13" x14ac:dyDescent="0.2">
      <c r="A85" t="s">
        <v>515</v>
      </c>
      <c r="B85" t="s">
        <v>516</v>
      </c>
      <c r="C85" t="s">
        <v>517</v>
      </c>
      <c r="D85" t="s">
        <v>803</v>
      </c>
      <c r="E85" t="s">
        <v>62</v>
      </c>
      <c r="F85" s="6">
        <v>46191</v>
      </c>
      <c r="G85">
        <v>342.52</v>
      </c>
      <c r="H85" t="s">
        <v>14</v>
      </c>
      <c r="I85">
        <f t="shared" si="4"/>
        <v>1</v>
      </c>
      <c r="J85">
        <f>COUNTIFS(A$2:A85,A85,B$2:B85,B85,C$2:C85,IF(C85="","=",C85),D$2:D85,IF(D85="","=",D85),E$2:E85,IF(E85="","=",E85),F$2:F85,F85,G$2:G85,IF(G85="","=",G85),H$2:H85,H85)</f>
        <v>1</v>
      </c>
      <c r="K85" t="str">
        <f t="shared" si="5"/>
        <v>Valid</v>
      </c>
      <c r="M85" s="5"/>
    </row>
    <row r="86" spans="1:13" x14ac:dyDescent="0.2">
      <c r="A86" t="s">
        <v>107</v>
      </c>
      <c r="B86" t="s">
        <v>108</v>
      </c>
      <c r="C86" t="s">
        <v>109</v>
      </c>
      <c r="D86" t="s">
        <v>729</v>
      </c>
      <c r="E86" t="s">
        <v>26</v>
      </c>
      <c r="F86" s="6">
        <v>46192</v>
      </c>
      <c r="G86">
        <v>306.23</v>
      </c>
      <c r="H86" t="s">
        <v>28</v>
      </c>
      <c r="I86">
        <f t="shared" si="4"/>
        <v>1</v>
      </c>
      <c r="J86">
        <f>COUNTIFS(A$2:A86,A86,B$2:B86,B86,C$2:C86,IF(C86="","=",C86),D$2:D86,IF(D86="","=",D86),E$2:E86,IF(E86="","=",E86),F$2:F86,F86,G$2:G86,IF(G86="","=",G86),H$2:H86,H86)</f>
        <v>1</v>
      </c>
      <c r="K86" t="str">
        <f t="shared" si="5"/>
        <v>Valid</v>
      </c>
      <c r="M86" s="5"/>
    </row>
    <row r="87" spans="1:13" x14ac:dyDescent="0.2">
      <c r="A87" t="s">
        <v>374</v>
      </c>
      <c r="B87" t="s">
        <v>375</v>
      </c>
      <c r="C87" t="s">
        <v>376</v>
      </c>
      <c r="D87" t="s">
        <v>774</v>
      </c>
      <c r="E87" t="s">
        <v>33</v>
      </c>
      <c r="F87" s="6">
        <v>46192</v>
      </c>
      <c r="G87">
        <v>62.18</v>
      </c>
      <c r="H87" t="s">
        <v>142</v>
      </c>
      <c r="I87">
        <f t="shared" si="4"/>
        <v>1</v>
      </c>
      <c r="J87">
        <f>COUNTIFS(A$2:A87,A87,B$2:B87,B87,C$2:C87,IF(C87="","=",C87),D$2:D87,IF(D87="","=",D87),E$2:E87,IF(E87="","=",E87),F$2:F87,F87,G$2:G87,IF(G87="","=",G87),H$2:H87,H87)</f>
        <v>1</v>
      </c>
      <c r="K87" t="str">
        <f t="shared" si="5"/>
        <v>Valid</v>
      </c>
      <c r="M87" s="5"/>
    </row>
    <row r="88" spans="1:13" x14ac:dyDescent="0.2">
      <c r="A88" t="s">
        <v>584</v>
      </c>
      <c r="B88" t="s">
        <v>77</v>
      </c>
      <c r="C88" t="s">
        <v>585</v>
      </c>
      <c r="D88" t="s">
        <v>816</v>
      </c>
      <c r="E88" t="s">
        <v>12</v>
      </c>
      <c r="F88" s="6">
        <v>46193</v>
      </c>
      <c r="G88">
        <v>37.28</v>
      </c>
      <c r="H88" t="s">
        <v>91</v>
      </c>
      <c r="I88">
        <f t="shared" si="4"/>
        <v>1</v>
      </c>
      <c r="J88">
        <f>COUNTIFS(A$2:A88,A88,B$2:B88,B88,C$2:C88,IF(C88="","=",C88),D$2:D88,IF(D88="","=",D88),E$2:E88,IF(E88="","=",E88),F$2:F88,F88,G$2:G88,IF(G88="","=",G88),H$2:H88,H88)</f>
        <v>1</v>
      </c>
      <c r="K88" t="str">
        <f t="shared" si="5"/>
        <v>Valid</v>
      </c>
      <c r="M88" s="5"/>
    </row>
    <row r="89" spans="1:13" x14ac:dyDescent="0.2">
      <c r="A89" t="s">
        <v>137</v>
      </c>
      <c r="B89" t="s">
        <v>138</v>
      </c>
      <c r="C89" t="s">
        <v>139</v>
      </c>
      <c r="D89" t="s">
        <v>734</v>
      </c>
      <c r="E89" t="s">
        <v>45</v>
      </c>
      <c r="F89" s="6">
        <v>46194</v>
      </c>
      <c r="G89">
        <v>73.41</v>
      </c>
      <c r="H89" t="s">
        <v>142</v>
      </c>
      <c r="I89">
        <f t="shared" si="4"/>
        <v>1</v>
      </c>
      <c r="J89">
        <f>COUNTIFS(A$2:A89,A89,B$2:B89,B89,C$2:C89,IF(C89="","=",C89),D$2:D89,IF(D89="","=",D89),E$2:E89,IF(E89="","=",E89),F$2:F89,F89,G$2:G89,IF(G89="","=",G89),H$2:H89,H89)</f>
        <v>1</v>
      </c>
      <c r="K89" t="str">
        <f t="shared" si="5"/>
        <v>Valid</v>
      </c>
      <c r="M89" s="5"/>
    </row>
    <row r="90" spans="1:13" x14ac:dyDescent="0.2">
      <c r="A90" t="s">
        <v>576</v>
      </c>
      <c r="B90" t="s">
        <v>577</v>
      </c>
      <c r="C90" t="s">
        <v>578</v>
      </c>
      <c r="D90" t="s">
        <v>814</v>
      </c>
      <c r="E90" t="s">
        <v>33</v>
      </c>
      <c r="F90" s="6">
        <v>46194</v>
      </c>
      <c r="G90">
        <v>85.82</v>
      </c>
      <c r="H90" t="s">
        <v>176</v>
      </c>
      <c r="I90">
        <f t="shared" si="4"/>
        <v>1</v>
      </c>
      <c r="J90">
        <f>COUNTIFS(A$2:A90,A90,B$2:B90,B90,C$2:C90,IF(C90="","=",C90),D$2:D90,IF(D90="","=",D90),E$2:E90,IF(E90="","=",E90),F$2:F90,F90,G$2:G90,IF(G90="","=",G90),H$2:H90,H90)</f>
        <v>1</v>
      </c>
      <c r="K90" t="str">
        <f t="shared" si="5"/>
        <v>Valid</v>
      </c>
      <c r="M90" s="5"/>
    </row>
    <row r="91" spans="1:13" x14ac:dyDescent="0.2">
      <c r="A91" t="s">
        <v>58</v>
      </c>
      <c r="B91" t="s">
        <v>59</v>
      </c>
      <c r="C91" t="s">
        <v>60</v>
      </c>
      <c r="D91" t="s">
        <v>720</v>
      </c>
      <c r="E91" t="s">
        <v>62</v>
      </c>
      <c r="F91" s="6">
        <v>46196</v>
      </c>
      <c r="G91">
        <v>250.38</v>
      </c>
      <c r="H91" t="s">
        <v>64</v>
      </c>
      <c r="I91">
        <f t="shared" si="4"/>
        <v>1</v>
      </c>
      <c r="J91">
        <f>COUNTIFS(A$2:A91,A91,B$2:B91,B91,C$2:C91,IF(C91="","=",C91),D$2:D91,IF(D91="","=",D91),E$2:E91,IF(E91="","=",E91),F$2:F91,F91,G$2:G91,IF(G91="","=",G91),H$2:H91,H91)</f>
        <v>1</v>
      </c>
      <c r="K91" t="str">
        <f t="shared" si="5"/>
        <v>Valid</v>
      </c>
      <c r="M91" s="5"/>
    </row>
    <row r="92" spans="1:13" x14ac:dyDescent="0.2">
      <c r="A92" t="s">
        <v>307</v>
      </c>
      <c r="B92" t="s">
        <v>98</v>
      </c>
      <c r="C92" t="s">
        <v>308</v>
      </c>
      <c r="D92" t="s">
        <v>762</v>
      </c>
      <c r="E92" t="s">
        <v>45</v>
      </c>
      <c r="F92" s="6">
        <v>46196</v>
      </c>
      <c r="G92">
        <v>197.23</v>
      </c>
      <c r="H92" t="s">
        <v>21</v>
      </c>
      <c r="I92">
        <f t="shared" si="4"/>
        <v>1</v>
      </c>
      <c r="J92">
        <f>COUNTIFS(A$2:A92,A92,B$2:B92,B92,C$2:C92,IF(C92="","=",C92),D$2:D92,IF(D92="","=",D92),E$2:E92,IF(E92="","=",E92),F$2:F92,F92,G$2:G92,IF(G92="","=",G92),H$2:H92,H92)</f>
        <v>1</v>
      </c>
      <c r="K92" t="str">
        <f t="shared" si="5"/>
        <v>Valid</v>
      </c>
      <c r="M92" s="5"/>
    </row>
    <row r="93" spans="1:13" x14ac:dyDescent="0.2">
      <c r="A93" t="s">
        <v>414</v>
      </c>
      <c r="B93" t="s">
        <v>415</v>
      </c>
      <c r="C93" t="s">
        <v>416</v>
      </c>
      <c r="D93" t="s">
        <v>781</v>
      </c>
      <c r="E93" t="s">
        <v>50</v>
      </c>
      <c r="F93" s="6">
        <v>46197</v>
      </c>
      <c r="G93">
        <v>25.14</v>
      </c>
      <c r="H93" t="s">
        <v>21</v>
      </c>
      <c r="I93">
        <f t="shared" si="4"/>
        <v>1</v>
      </c>
      <c r="J93">
        <f>COUNTIFS(A$2:A93,A93,B$2:B93,B93,C$2:C93,IF(C93="","=",C93),D$2:D93,IF(D93="","=",D93),E$2:E93,IF(E93="","=",E93),F$2:F93,F93,G$2:G93,IF(G93="","=",G93),H$2:H93,H93)</f>
        <v>1</v>
      </c>
      <c r="K93" t="str">
        <f t="shared" si="5"/>
        <v>Valid</v>
      </c>
      <c r="M93" s="5"/>
    </row>
    <row r="94" spans="1:13" x14ac:dyDescent="0.2">
      <c r="A94" t="s">
        <v>580</v>
      </c>
      <c r="B94" t="s">
        <v>581</v>
      </c>
      <c r="C94" t="s">
        <v>582</v>
      </c>
      <c r="D94" t="s">
        <v>815</v>
      </c>
      <c r="E94" t="s">
        <v>56</v>
      </c>
      <c r="F94" s="6">
        <v>46197</v>
      </c>
      <c r="G94">
        <v>18.899999999999999</v>
      </c>
      <c r="H94" t="s">
        <v>91</v>
      </c>
      <c r="I94">
        <f t="shared" si="4"/>
        <v>1</v>
      </c>
      <c r="J94">
        <f>COUNTIFS(A$2:A94,A94,B$2:B94,B94,C$2:C94,IF(C94="","=",C94),D$2:D94,IF(D94="","=",D94),E$2:E94,IF(E94="","=",E94),F$2:F94,F94,G$2:G94,IF(G94="","=",G94),H$2:H94,H94)</f>
        <v>1</v>
      </c>
      <c r="K94" t="str">
        <f t="shared" si="5"/>
        <v>Valid</v>
      </c>
      <c r="M94" s="5"/>
    </row>
    <row r="95" spans="1:13" x14ac:dyDescent="0.2">
      <c r="A95" t="s">
        <v>192</v>
      </c>
      <c r="B95" t="s">
        <v>193</v>
      </c>
      <c r="C95" t="s">
        <v>194</v>
      </c>
      <c r="D95" t="s">
        <v>743</v>
      </c>
      <c r="E95" t="s">
        <v>62</v>
      </c>
      <c r="F95" s="6">
        <v>46200</v>
      </c>
      <c r="G95">
        <v>134.41999999999999</v>
      </c>
      <c r="H95" t="s">
        <v>28</v>
      </c>
      <c r="I95">
        <f t="shared" si="4"/>
        <v>1</v>
      </c>
      <c r="J95">
        <f>COUNTIFS(A$2:A95,A95,B$2:B95,B95,C$2:C95,IF(C95="","=",C95),D$2:D95,IF(D95="","=",D95),E$2:E95,IF(E95="","=",E95),F$2:F95,F95,G$2:G95,IF(G95="","=",G95),H$2:H95,H95)</f>
        <v>1</v>
      </c>
      <c r="K95" t="str">
        <f t="shared" si="5"/>
        <v>Valid</v>
      </c>
      <c r="M95" s="5"/>
    </row>
    <row r="96" spans="1:13" x14ac:dyDescent="0.2">
      <c r="A96" t="s">
        <v>22</v>
      </c>
      <c r="B96" t="s">
        <v>23</v>
      </c>
      <c r="C96" t="s">
        <v>24</v>
      </c>
      <c r="D96" t="s">
        <v>25</v>
      </c>
      <c r="E96" t="s">
        <v>26</v>
      </c>
      <c r="F96" s="6">
        <v>46201</v>
      </c>
      <c r="G96">
        <v>261.06</v>
      </c>
      <c r="H96" t="s">
        <v>28</v>
      </c>
      <c r="I96">
        <f t="shared" si="4"/>
        <v>1</v>
      </c>
      <c r="J96">
        <f>COUNTIFS(A$2:A96,A96,B$2:B96,B96,C$2:C96,IF(C96="","=",C96),D$2:D96,IF(D96="","=",D96),E$2:E96,IF(E96="","=",E96),F$2:F96,F96,G$2:G96,IF(G96="","=",G96),H$2:H96,H96)</f>
        <v>1</v>
      </c>
      <c r="K96" t="str">
        <f t="shared" si="5"/>
        <v>Valid</v>
      </c>
      <c r="M96" s="5"/>
    </row>
    <row r="97" spans="1:13" x14ac:dyDescent="0.2">
      <c r="A97" t="s">
        <v>567</v>
      </c>
      <c r="B97" t="s">
        <v>410</v>
      </c>
      <c r="C97" t="s">
        <v>568</v>
      </c>
      <c r="D97" t="s">
        <v>812</v>
      </c>
      <c r="E97" t="s">
        <v>62</v>
      </c>
      <c r="F97" s="6">
        <v>46204</v>
      </c>
      <c r="G97">
        <v>283.16000000000003</v>
      </c>
      <c r="H97" t="s">
        <v>28</v>
      </c>
      <c r="I97">
        <f t="shared" si="4"/>
        <v>1</v>
      </c>
      <c r="J97">
        <f>COUNTIFS(A$2:A97,A97,B$2:B97,B97,C$2:C97,IF(C97="","=",C97),D$2:D97,IF(D97="","=",D97),E$2:E97,IF(E97="","=",E97),F$2:F97,F97,G$2:G97,IF(G97="","=",G97),H$2:H97,H97)</f>
        <v>1</v>
      </c>
      <c r="K97" t="str">
        <f t="shared" si="5"/>
        <v>Valid</v>
      </c>
      <c r="M97" s="5"/>
    </row>
    <row r="98" spans="1:13" x14ac:dyDescent="0.2">
      <c r="A98" t="s">
        <v>678</v>
      </c>
      <c r="B98" t="s">
        <v>679</v>
      </c>
      <c r="C98" t="s">
        <v>680</v>
      </c>
      <c r="D98" t="s">
        <v>681</v>
      </c>
      <c r="E98" t="s">
        <v>56</v>
      </c>
      <c r="F98" s="6">
        <v>46205</v>
      </c>
      <c r="G98">
        <v>141.43</v>
      </c>
      <c r="H98" t="s">
        <v>28</v>
      </c>
      <c r="I98">
        <f t="shared" ref="I98:I129" si="6">COUNTIF($A$2:$A$141,A98)</f>
        <v>1</v>
      </c>
      <c r="J98">
        <f>COUNTIFS(A$2:A98,A98,B$2:B98,B98,C$2:C98,IF(C98="","=",C98),D$2:D98,IF(D98="","=",D98),E$2:E98,IF(E98="","=",E98),F$2:F98,F98,G$2:G98,IF(G98="","=",G98),H$2:H98,H98)</f>
        <v>1</v>
      </c>
      <c r="K98" t="str">
        <f t="shared" ref="K98:K129" si="7">IF(OR(C98="",G98="",NOT(ISNUMBER(G98)),AND(ISNUMBER(G98),G98&lt;=0)),"Needs Review","Valid")</f>
        <v>Valid</v>
      </c>
      <c r="M98" s="5"/>
    </row>
    <row r="99" spans="1:13" x14ac:dyDescent="0.2">
      <c r="A99" t="s">
        <v>316</v>
      </c>
      <c r="B99" t="s">
        <v>708</v>
      </c>
      <c r="C99" t="s">
        <v>318</v>
      </c>
      <c r="D99" t="s">
        <v>764</v>
      </c>
      <c r="E99" t="s">
        <v>26</v>
      </c>
      <c r="F99" s="6">
        <v>46206</v>
      </c>
      <c r="G99">
        <v>210.43</v>
      </c>
      <c r="H99" t="s">
        <v>14</v>
      </c>
      <c r="I99">
        <f t="shared" si="6"/>
        <v>1</v>
      </c>
      <c r="J99">
        <f>COUNTIFS(A$2:A99,A99,B$2:B99,B99,C$2:C99,IF(C99="","=",C99),D$2:D99,IF(D99="","=",D99),E$2:E99,IF(E99="","=",E99),F$2:F99,F99,G$2:G99,IF(G99="","=",G99),H$2:H99,H99)</f>
        <v>1</v>
      </c>
      <c r="K99" t="str">
        <f t="shared" si="7"/>
        <v>Valid</v>
      </c>
      <c r="M99" s="5"/>
    </row>
    <row r="100" spans="1:13" x14ac:dyDescent="0.2">
      <c r="A100" t="s">
        <v>429</v>
      </c>
      <c r="B100" t="s">
        <v>430</v>
      </c>
      <c r="C100" t="s">
        <v>431</v>
      </c>
      <c r="D100" t="s">
        <v>784</v>
      </c>
      <c r="E100" t="s">
        <v>69</v>
      </c>
      <c r="F100" s="6">
        <v>46209</v>
      </c>
      <c r="G100">
        <v>276.56</v>
      </c>
      <c r="H100" t="s">
        <v>176</v>
      </c>
      <c r="I100">
        <f t="shared" si="6"/>
        <v>1</v>
      </c>
      <c r="J100">
        <f>COUNTIFS(A$2:A100,A100,B$2:B100,B100,C$2:C100,IF(C100="","=",C100),D$2:D100,IF(D100="","=",D100),E$2:E100,IF(E100="","=",E100),F$2:F100,F100,G$2:G100,IF(G100="","=",G100),H$2:H100,H100)</f>
        <v>1</v>
      </c>
      <c r="K100" t="str">
        <f t="shared" si="7"/>
        <v>Valid</v>
      </c>
      <c r="M100" s="5"/>
    </row>
    <row r="101" spans="1:13" x14ac:dyDescent="0.2">
      <c r="A101" t="s">
        <v>520</v>
      </c>
      <c r="B101" t="s">
        <v>521</v>
      </c>
      <c r="C101" t="s">
        <v>522</v>
      </c>
      <c r="D101" t="s">
        <v>804</v>
      </c>
      <c r="E101" t="s">
        <v>45</v>
      </c>
      <c r="F101" s="6">
        <v>46209</v>
      </c>
      <c r="G101">
        <v>335.25</v>
      </c>
      <c r="H101" t="s">
        <v>21</v>
      </c>
      <c r="I101">
        <f t="shared" si="6"/>
        <v>1</v>
      </c>
      <c r="J101">
        <f>COUNTIFS(A$2:A101,A101,B$2:B101,B101,C$2:C101,IF(C101="","=",C101),D$2:D101,IF(D101="","=",D101),E$2:E101,IF(E101="","=",E101),F$2:F101,F101,G$2:G101,IF(G101="","=",G101),H$2:H101,H101)</f>
        <v>1</v>
      </c>
      <c r="K101" t="str">
        <f t="shared" si="7"/>
        <v>Valid</v>
      </c>
      <c r="M101" s="5"/>
    </row>
    <row r="102" spans="1:13" x14ac:dyDescent="0.2">
      <c r="A102" t="s">
        <v>29</v>
      </c>
      <c r="B102" t="s">
        <v>30</v>
      </c>
      <c r="C102" t="s">
        <v>31</v>
      </c>
      <c r="D102" t="s">
        <v>715</v>
      </c>
      <c r="E102" t="s">
        <v>33</v>
      </c>
      <c r="F102" s="6">
        <v>46212</v>
      </c>
      <c r="G102">
        <v>105.24</v>
      </c>
      <c r="H102" t="s">
        <v>21</v>
      </c>
      <c r="I102">
        <f t="shared" si="6"/>
        <v>1</v>
      </c>
      <c r="J102">
        <f>COUNTIFS(A$2:A102,A102,B$2:B102,B102,C$2:C102,IF(C102="","=",C102),D$2:D102,IF(D102="","=",D102),E$2:E102,IF(E102="","=",E102),F$2:F102,F102,G$2:G102,IF(G102="","=",G102),H$2:H102,H102)</f>
        <v>1</v>
      </c>
      <c r="K102" t="str">
        <f t="shared" si="7"/>
        <v>Valid</v>
      </c>
      <c r="M102" s="5"/>
    </row>
    <row r="103" spans="1:13" x14ac:dyDescent="0.2">
      <c r="A103" t="s">
        <v>133</v>
      </c>
      <c r="B103" t="s">
        <v>134</v>
      </c>
      <c r="C103" t="s">
        <v>135</v>
      </c>
      <c r="D103" t="s">
        <v>733</v>
      </c>
      <c r="E103" t="s">
        <v>26</v>
      </c>
      <c r="F103" s="6">
        <v>46212</v>
      </c>
      <c r="G103">
        <v>287.39999999999998</v>
      </c>
      <c r="H103" t="s">
        <v>28</v>
      </c>
      <c r="I103">
        <f t="shared" si="6"/>
        <v>1</v>
      </c>
      <c r="J103">
        <f>COUNTIFS(A$2:A103,A103,B$2:B103,B103,C$2:C103,IF(C103="","=",C103),D$2:D103,IF(D103="","=",D103),E$2:E103,IF(E103="","=",E103),F$2:F103,F103,G$2:G103,IF(G103="","=",G103),H$2:H103,H103)</f>
        <v>1</v>
      </c>
      <c r="K103" t="str">
        <f t="shared" si="7"/>
        <v>Valid</v>
      </c>
      <c r="M103" s="5"/>
    </row>
    <row r="104" spans="1:13" x14ac:dyDescent="0.2">
      <c r="A104" t="s">
        <v>197</v>
      </c>
      <c r="B104" t="s">
        <v>198</v>
      </c>
      <c r="C104" t="s">
        <v>199</v>
      </c>
      <c r="D104" t="s">
        <v>744</v>
      </c>
      <c r="E104" t="s">
        <v>26</v>
      </c>
      <c r="F104" s="6">
        <v>46213</v>
      </c>
      <c r="G104">
        <v>221.68</v>
      </c>
      <c r="H104" t="s">
        <v>14</v>
      </c>
      <c r="I104">
        <f t="shared" si="6"/>
        <v>1</v>
      </c>
      <c r="J104">
        <f>COUNTIFS(A$2:A104,A104,B$2:B104,B104,C$2:C104,IF(C104="","=",C104),D$2:D104,IF(D104="","=",D104),E$2:E104,IF(E104="","=",E104),F$2:F104,F104,G$2:G104,IF(G104="","=",G104),H$2:H104,H104)</f>
        <v>1</v>
      </c>
      <c r="K104" t="str">
        <f t="shared" si="7"/>
        <v>Valid</v>
      </c>
      <c r="M104" s="5"/>
    </row>
    <row r="105" spans="1:13" x14ac:dyDescent="0.2">
      <c r="A105" t="s">
        <v>202</v>
      </c>
      <c r="B105" t="s">
        <v>203</v>
      </c>
      <c r="C105" t="s">
        <v>204</v>
      </c>
      <c r="D105" t="s">
        <v>745</v>
      </c>
      <c r="E105" t="s">
        <v>12</v>
      </c>
      <c r="F105" s="6">
        <v>46217</v>
      </c>
      <c r="G105">
        <v>123.25</v>
      </c>
      <c r="H105" t="s">
        <v>28</v>
      </c>
      <c r="I105">
        <f t="shared" si="6"/>
        <v>1</v>
      </c>
      <c r="J105">
        <f>COUNTIFS(A$2:A105,A105,B$2:B105,B105,C$2:C105,IF(C105="","=",C105),D$2:D105,IF(D105="","=",D105),E$2:E105,IF(E105="","=",E105),F$2:F105,F105,G$2:G105,IF(G105="","=",G105),H$2:H105,H105)</f>
        <v>1</v>
      </c>
      <c r="K105" t="str">
        <f t="shared" si="7"/>
        <v>Valid</v>
      </c>
      <c r="M105" s="5"/>
    </row>
    <row r="106" spans="1:13" x14ac:dyDescent="0.2">
      <c r="A106" t="s">
        <v>283</v>
      </c>
      <c r="B106" t="s">
        <v>284</v>
      </c>
      <c r="C106" t="s">
        <v>285</v>
      </c>
      <c r="D106" t="s">
        <v>757</v>
      </c>
      <c r="E106" t="s">
        <v>33</v>
      </c>
      <c r="F106" s="6">
        <v>46219</v>
      </c>
      <c r="G106">
        <v>215.12</v>
      </c>
      <c r="H106" t="s">
        <v>21</v>
      </c>
      <c r="I106">
        <f t="shared" si="6"/>
        <v>1</v>
      </c>
      <c r="J106">
        <f>COUNTIFS(A$2:A106,A106,B$2:B106,B106,C$2:C106,IF(C106="","=",C106),D$2:D106,IF(D106="","=",D106),E$2:E106,IF(E106="","=",E106),F$2:F106,F106,G$2:G106,IF(G106="","=",G106),H$2:H106,H106)</f>
        <v>1</v>
      </c>
      <c r="K106" t="str">
        <f t="shared" si="7"/>
        <v>Valid</v>
      </c>
      <c r="M106" s="5"/>
    </row>
    <row r="107" spans="1:13" x14ac:dyDescent="0.2">
      <c r="A107" t="s">
        <v>15</v>
      </c>
      <c r="B107" t="s">
        <v>16</v>
      </c>
      <c r="C107" t="s">
        <v>17</v>
      </c>
      <c r="D107" t="s">
        <v>714</v>
      </c>
      <c r="E107" t="s">
        <v>12</v>
      </c>
      <c r="F107" s="6">
        <v>46221</v>
      </c>
      <c r="G107">
        <v>89.47</v>
      </c>
      <c r="H107" t="s">
        <v>21</v>
      </c>
      <c r="I107">
        <f t="shared" si="6"/>
        <v>1</v>
      </c>
      <c r="J107">
        <f>COUNTIFS(A$2:A107,A107,B$2:B107,B107,C$2:C107,IF(C107="","=",C107),D$2:D107,IF(D107="","=",D107),E$2:E107,IF(E107="","=",E107),F$2:F107,F107,G$2:G107,IF(G107="","=",G107),H$2:H107,H107)</f>
        <v>1</v>
      </c>
      <c r="K107" t="str">
        <f t="shared" si="7"/>
        <v>Valid</v>
      </c>
      <c r="M107" s="5"/>
    </row>
    <row r="108" spans="1:13" x14ac:dyDescent="0.2">
      <c r="A108" t="s">
        <v>497</v>
      </c>
      <c r="B108" t="s">
        <v>498</v>
      </c>
      <c r="C108" t="s">
        <v>499</v>
      </c>
      <c r="D108" t="s">
        <v>799</v>
      </c>
      <c r="E108" t="s">
        <v>45</v>
      </c>
      <c r="F108" s="6">
        <v>46221</v>
      </c>
      <c r="G108">
        <v>307.2</v>
      </c>
      <c r="H108" t="s">
        <v>28</v>
      </c>
      <c r="I108">
        <f t="shared" si="6"/>
        <v>1</v>
      </c>
      <c r="J108">
        <f>COUNTIFS(A$2:A108,A108,B$2:B108,B108,C$2:C108,IF(C108="","=",C108),D$2:D108,IF(D108="","=",D108),E$2:E108,IF(E108="","=",E108),F$2:F108,F108,G$2:G108,IF(G108="","=",G108),H$2:H108,H108)</f>
        <v>1</v>
      </c>
      <c r="K108" t="str">
        <f t="shared" si="7"/>
        <v>Valid</v>
      </c>
      <c r="M108" s="5"/>
    </row>
    <row r="109" spans="1:13" x14ac:dyDescent="0.2">
      <c r="A109" t="s">
        <v>393</v>
      </c>
      <c r="B109" t="s">
        <v>338</v>
      </c>
      <c r="C109" t="s">
        <v>394</v>
      </c>
      <c r="D109" t="s">
        <v>777</v>
      </c>
      <c r="E109" t="s">
        <v>833</v>
      </c>
      <c r="F109" s="6">
        <v>46225</v>
      </c>
      <c r="G109">
        <v>270.91000000000003</v>
      </c>
      <c r="H109" t="s">
        <v>14</v>
      </c>
      <c r="I109">
        <f t="shared" si="6"/>
        <v>1</v>
      </c>
      <c r="J109">
        <f>COUNTIFS(A$2:A109,A109,B$2:B109,B109,C$2:C109,IF(C109="","=",C109),D$2:D109,IF(D109="","=",D109),E$2:E109,IF(E109="","=",E109),F$2:F109,F109,G$2:G109,IF(G109="","=",G109),H$2:H109,H109)</f>
        <v>1</v>
      </c>
      <c r="K109" t="str">
        <f t="shared" si="7"/>
        <v>Valid</v>
      </c>
      <c r="M109" s="5"/>
    </row>
    <row r="110" spans="1:13" x14ac:dyDescent="0.2">
      <c r="A110" t="s">
        <v>238</v>
      </c>
      <c r="B110" t="s">
        <v>239</v>
      </c>
      <c r="C110" t="s">
        <v>240</v>
      </c>
      <c r="D110" t="s">
        <v>241</v>
      </c>
      <c r="E110" t="s">
        <v>12</v>
      </c>
      <c r="F110" s="6">
        <v>46227</v>
      </c>
      <c r="G110">
        <v>95.97</v>
      </c>
      <c r="H110" t="s">
        <v>243</v>
      </c>
      <c r="I110">
        <f t="shared" si="6"/>
        <v>1</v>
      </c>
      <c r="J110">
        <f>COUNTIFS(A$2:A110,A110,B$2:B110,B110,C$2:C110,IF(C110="","=",C110),D$2:D110,IF(D110="","=",D110),E$2:E110,IF(E110="","=",E110),F$2:F110,F110,G$2:G110,IF(G110="","=",G110),H$2:H110,H110)</f>
        <v>1</v>
      </c>
      <c r="K110" t="str">
        <f t="shared" si="7"/>
        <v>Valid</v>
      </c>
      <c r="M110" s="5"/>
    </row>
    <row r="111" spans="1:13" x14ac:dyDescent="0.2">
      <c r="A111" t="s">
        <v>152</v>
      </c>
      <c r="B111" t="s">
        <v>153</v>
      </c>
      <c r="C111" t="s">
        <v>154</v>
      </c>
      <c r="D111" t="s">
        <v>736</v>
      </c>
      <c r="E111" t="s">
        <v>69</v>
      </c>
      <c r="F111" s="6">
        <v>46228</v>
      </c>
      <c r="G111">
        <v>133.13</v>
      </c>
      <c r="H111" t="s">
        <v>91</v>
      </c>
      <c r="I111">
        <f t="shared" si="6"/>
        <v>1</v>
      </c>
      <c r="J111">
        <f>COUNTIFS(A$2:A111,A111,B$2:B111,B111,C$2:C111,IF(C111="","=",C111),D$2:D111,IF(D111="","=",D111),E$2:E111,IF(E111="","=",E111),F$2:F111,F111,G$2:G111,IF(G111="","=",G111),H$2:H111,H111)</f>
        <v>1</v>
      </c>
      <c r="K111" t="str">
        <f t="shared" si="7"/>
        <v>Valid</v>
      </c>
      <c r="M111" s="5"/>
    </row>
    <row r="112" spans="1:13" x14ac:dyDescent="0.2">
      <c r="A112" t="s">
        <v>224</v>
      </c>
      <c r="B112" t="s">
        <v>118</v>
      </c>
      <c r="C112" t="s">
        <v>225</v>
      </c>
      <c r="D112" t="s">
        <v>749</v>
      </c>
      <c r="E112" t="s">
        <v>50</v>
      </c>
      <c r="F112" s="6">
        <v>46230</v>
      </c>
      <c r="G112">
        <v>264.95999999999998</v>
      </c>
      <c r="H112" t="s">
        <v>21</v>
      </c>
      <c r="I112">
        <f t="shared" si="6"/>
        <v>1</v>
      </c>
      <c r="J112">
        <f>COUNTIFS(A$2:A112,A112,B$2:B112,B112,C$2:C112,IF(C112="","=",C112),D$2:D112,IF(D112="","=",D112),E$2:E112,IF(E112="","=",E112),F$2:F112,F112,G$2:G112,IF(G112="","=",G112),H$2:H112,H112)</f>
        <v>1</v>
      </c>
      <c r="K112" t="str">
        <f t="shared" si="7"/>
        <v>Valid</v>
      </c>
      <c r="M112" s="5"/>
    </row>
    <row r="113" spans="1:13" x14ac:dyDescent="0.2">
      <c r="A113" t="s">
        <v>637</v>
      </c>
      <c r="B113" t="s">
        <v>593</v>
      </c>
      <c r="C113" t="s">
        <v>638</v>
      </c>
      <c r="D113" t="s">
        <v>825</v>
      </c>
      <c r="E113" t="s">
        <v>12</v>
      </c>
      <c r="F113" s="6">
        <v>46230</v>
      </c>
      <c r="G113">
        <v>257.47000000000003</v>
      </c>
      <c r="H113" t="s">
        <v>91</v>
      </c>
      <c r="I113">
        <f t="shared" si="6"/>
        <v>1</v>
      </c>
      <c r="J113">
        <f>COUNTIFS(A$2:A113,A113,B$2:B113,B113,C$2:C113,IF(C113="","=",C113),D$2:D113,IF(D113="","=",D113),E$2:E113,IF(E113="","=",E113),F$2:F113,F113,G$2:G113,IF(G113="","=",G113),H$2:H113,H113)</f>
        <v>1</v>
      </c>
      <c r="K113" t="str">
        <f t="shared" si="7"/>
        <v>Valid</v>
      </c>
      <c r="M113" s="5"/>
    </row>
    <row r="114" spans="1:13" x14ac:dyDescent="0.2">
      <c r="A114" t="s">
        <v>472</v>
      </c>
      <c r="B114" t="s">
        <v>473</v>
      </c>
      <c r="C114" t="s">
        <v>474</v>
      </c>
      <c r="D114" t="s">
        <v>794</v>
      </c>
      <c r="E114" t="s">
        <v>69</v>
      </c>
      <c r="F114" s="6">
        <v>46236</v>
      </c>
      <c r="G114">
        <v>304.68</v>
      </c>
      <c r="H114" t="s">
        <v>64</v>
      </c>
      <c r="I114">
        <f t="shared" si="6"/>
        <v>1</v>
      </c>
      <c r="J114">
        <f>COUNTIFS(A$2:A114,A114,B$2:B114,B114,C$2:C114,IF(C114="","=",C114),D$2:D114,IF(D114="","=",D114),E$2:E114,IF(E114="","=",E114),F$2:F114,F114,G$2:G114,IF(G114="","=",G114),H$2:H114,H114)</f>
        <v>1</v>
      </c>
      <c r="K114" t="str">
        <f t="shared" si="7"/>
        <v>Valid</v>
      </c>
      <c r="M114" s="5"/>
    </row>
    <row r="115" spans="1:13" x14ac:dyDescent="0.2">
      <c r="A115" t="s">
        <v>351</v>
      </c>
      <c r="B115" t="s">
        <v>352</v>
      </c>
      <c r="C115" t="s">
        <v>353</v>
      </c>
      <c r="D115" t="s">
        <v>770</v>
      </c>
      <c r="E115" t="s">
        <v>12</v>
      </c>
      <c r="F115" s="6">
        <v>46237</v>
      </c>
      <c r="G115">
        <v>145.30000000000001</v>
      </c>
      <c r="H115" t="s">
        <v>21</v>
      </c>
      <c r="I115">
        <f t="shared" si="6"/>
        <v>1</v>
      </c>
      <c r="J115">
        <f>COUNTIFS(A$2:A115,A115,B$2:B115,B115,C$2:C115,IF(C115="","=",C115),D$2:D115,IF(D115="","=",D115),E$2:E115,IF(E115="","=",E115),F$2:F115,F115,G$2:G115,IF(G115="","=",G115),H$2:H115,H115)</f>
        <v>1</v>
      </c>
      <c r="K115" t="str">
        <f t="shared" si="7"/>
        <v>Valid</v>
      </c>
      <c r="M115" s="5"/>
    </row>
    <row r="116" spans="1:13" x14ac:dyDescent="0.2">
      <c r="A116" t="s">
        <v>507</v>
      </c>
      <c r="B116" t="s">
        <v>508</v>
      </c>
      <c r="C116" t="s">
        <v>509</v>
      </c>
      <c r="D116" t="s">
        <v>801</v>
      </c>
      <c r="E116" t="s">
        <v>33</v>
      </c>
      <c r="F116" s="6">
        <v>46237</v>
      </c>
      <c r="G116">
        <v>273.75</v>
      </c>
      <c r="H116" t="s">
        <v>91</v>
      </c>
      <c r="I116">
        <f t="shared" si="6"/>
        <v>1</v>
      </c>
      <c r="J116">
        <f>COUNTIFS(A$2:A116,A116,B$2:B116,B116,C$2:C116,IF(C116="","=",C116),D$2:D116,IF(D116="","=",D116),E$2:E116,IF(E116="","=",E116),F$2:F116,F116,G$2:G116,IF(G116="","=",G116),H$2:H116,H116)</f>
        <v>1</v>
      </c>
      <c r="K116" t="str">
        <f t="shared" si="7"/>
        <v>Valid</v>
      </c>
      <c r="M116" s="5"/>
    </row>
    <row r="117" spans="1:13" x14ac:dyDescent="0.2">
      <c r="A117" t="s">
        <v>554</v>
      </c>
      <c r="B117" t="s">
        <v>555</v>
      </c>
      <c r="C117" t="s">
        <v>556</v>
      </c>
      <c r="D117" t="s">
        <v>811</v>
      </c>
      <c r="E117" t="s">
        <v>26</v>
      </c>
      <c r="F117" s="6">
        <v>46240</v>
      </c>
      <c r="G117">
        <v>109.93</v>
      </c>
      <c r="H117" t="s">
        <v>28</v>
      </c>
      <c r="I117">
        <f t="shared" si="6"/>
        <v>1</v>
      </c>
      <c r="J117">
        <f>COUNTIFS(A$2:A117,A117,B$2:B117,B117,C$2:C117,IF(C117="","=",C117),D$2:D117,IF(D117="","=",D117),E$2:E117,IF(E117="","=",E117),F$2:F117,F117,G$2:G117,IF(G117="","=",G117),H$2:H117,H117)</f>
        <v>1</v>
      </c>
      <c r="K117" t="str">
        <f t="shared" si="7"/>
        <v>Valid</v>
      </c>
      <c r="M117" s="5"/>
    </row>
    <row r="118" spans="1:13" x14ac:dyDescent="0.2">
      <c r="A118" t="s">
        <v>122</v>
      </c>
      <c r="B118" t="s">
        <v>123</v>
      </c>
      <c r="C118" t="s">
        <v>124</v>
      </c>
      <c r="D118" t="s">
        <v>125</v>
      </c>
      <c r="E118" t="s">
        <v>45</v>
      </c>
      <c r="F118" s="6">
        <v>46241</v>
      </c>
      <c r="G118">
        <v>221.79</v>
      </c>
      <c r="H118" t="s">
        <v>127</v>
      </c>
      <c r="I118">
        <f t="shared" si="6"/>
        <v>1</v>
      </c>
      <c r="J118">
        <f>COUNTIFS(A$2:A118,A118,B$2:B118,B118,C$2:C118,IF(C118="","=",C118),D$2:D118,IF(D118="","=",D118),E$2:E118,IF(E118="","=",E118),F$2:F118,F118,G$2:G118,IF(G118="","=",G118),H$2:H118,H118)</f>
        <v>1</v>
      </c>
      <c r="K118" t="str">
        <f t="shared" si="7"/>
        <v>Valid</v>
      </c>
      <c r="M118" s="5"/>
    </row>
    <row r="119" spans="1:13" x14ac:dyDescent="0.2">
      <c r="A119" t="s">
        <v>491</v>
      </c>
      <c r="B119" t="s">
        <v>492</v>
      </c>
      <c r="C119" t="s">
        <v>493</v>
      </c>
      <c r="D119" t="s">
        <v>798</v>
      </c>
      <c r="E119" t="s">
        <v>45</v>
      </c>
      <c r="F119" s="6">
        <v>46244</v>
      </c>
      <c r="G119">
        <v>172.95</v>
      </c>
      <c r="H119" t="s">
        <v>21</v>
      </c>
      <c r="I119">
        <f t="shared" si="6"/>
        <v>1</v>
      </c>
      <c r="J119">
        <f>COUNTIFS(A$2:A119,A119,B$2:B119,B119,C$2:C119,IF(C119="","=",C119),D$2:D119,IF(D119="","=",D119),E$2:E119,IF(E119="","=",E119),F$2:F119,F119,G$2:G119,IF(G119="","=",G119),H$2:H119,H119)</f>
        <v>1</v>
      </c>
      <c r="K119" t="str">
        <f t="shared" si="7"/>
        <v>Valid</v>
      </c>
      <c r="M119" s="5"/>
    </row>
    <row r="120" spans="1:13" x14ac:dyDescent="0.2">
      <c r="A120" t="s">
        <v>97</v>
      </c>
      <c r="B120" t="s">
        <v>98</v>
      </c>
      <c r="C120" t="s">
        <v>99</v>
      </c>
      <c r="D120" t="s">
        <v>727</v>
      </c>
      <c r="E120" t="s">
        <v>45</v>
      </c>
      <c r="F120" s="6">
        <v>46247</v>
      </c>
      <c r="G120">
        <v>123.49</v>
      </c>
      <c r="H120" t="s">
        <v>91</v>
      </c>
      <c r="I120">
        <f t="shared" si="6"/>
        <v>1</v>
      </c>
      <c r="J120">
        <f>COUNTIFS(A$2:A120,A120,B$2:B120,B120,C$2:C120,IF(C120="","=",C120),D$2:D120,IF(D120="","=",D120),E$2:E120,IF(E120="","=",E120),F$2:F120,F120,G$2:G120,IF(G120="","=",G120),H$2:H120,H120)</f>
        <v>1</v>
      </c>
      <c r="K120" t="str">
        <f t="shared" si="7"/>
        <v>Valid</v>
      </c>
      <c r="M120" s="5"/>
    </row>
    <row r="121" spans="1:13" x14ac:dyDescent="0.2">
      <c r="A121" t="s">
        <v>628</v>
      </c>
      <c r="B121" t="s">
        <v>274</v>
      </c>
      <c r="C121" t="s">
        <v>629</v>
      </c>
      <c r="D121" t="s">
        <v>823</v>
      </c>
      <c r="E121" t="s">
        <v>33</v>
      </c>
      <c r="F121" s="6">
        <v>46252</v>
      </c>
      <c r="G121">
        <v>24.29</v>
      </c>
      <c r="H121" t="s">
        <v>28</v>
      </c>
      <c r="I121">
        <f t="shared" si="6"/>
        <v>1</v>
      </c>
      <c r="J121">
        <f>COUNTIFS(A$2:A121,A121,B$2:B121,B121,C$2:C121,IF(C121="","=",C121),D$2:D121,IF(D121="","=",D121),E$2:E121,IF(E121="","=",E121),F$2:F121,F121,G$2:G121,IF(G121="","=",G121),H$2:H121,H121)</f>
        <v>1</v>
      </c>
      <c r="K121" t="str">
        <f t="shared" si="7"/>
        <v>Valid</v>
      </c>
      <c r="M121" s="5"/>
    </row>
    <row r="122" spans="1:13" x14ac:dyDescent="0.2">
      <c r="A122" t="s">
        <v>403</v>
      </c>
      <c r="B122" t="s">
        <v>404</v>
      </c>
      <c r="C122" t="s">
        <v>405</v>
      </c>
      <c r="D122" t="s">
        <v>779</v>
      </c>
      <c r="E122" t="s">
        <v>69</v>
      </c>
      <c r="F122" s="6">
        <v>46253</v>
      </c>
      <c r="G122">
        <v>263.58</v>
      </c>
      <c r="H122" t="s">
        <v>91</v>
      </c>
      <c r="I122">
        <f t="shared" si="6"/>
        <v>1</v>
      </c>
      <c r="J122">
        <f>COUNTIFS(A$2:A122,A122,B$2:B122,B122,C$2:C122,IF(C122="","=",C122),D$2:D122,IF(D122="","=",D122),E$2:E122,IF(E122="","=",E122),F$2:F122,F122,G$2:G122,IF(G122="","=",G122),H$2:H122,H122)</f>
        <v>1</v>
      </c>
      <c r="K122" t="str">
        <f t="shared" si="7"/>
        <v>Valid</v>
      </c>
      <c r="M122" s="5"/>
    </row>
    <row r="123" spans="1:13" x14ac:dyDescent="0.2">
      <c r="A123" t="s">
        <v>41</v>
      </c>
      <c r="B123" t="s">
        <v>706</v>
      </c>
      <c r="C123" t="s">
        <v>43</v>
      </c>
      <c r="D123" t="s">
        <v>717</v>
      </c>
      <c r="E123" t="s">
        <v>45</v>
      </c>
      <c r="F123" s="6">
        <v>46256</v>
      </c>
      <c r="G123">
        <v>38.479999999999997</v>
      </c>
      <c r="H123" t="s">
        <v>28</v>
      </c>
      <c r="I123">
        <f t="shared" si="6"/>
        <v>1</v>
      </c>
      <c r="J123">
        <f>COUNTIFS(A$2:A123,A123,B$2:B123,B123,C$2:C123,IF(C123="","=",C123),D$2:D123,IF(D123="","=",D123),E$2:E123,IF(E123="","=",E123),F$2:F123,F123,G$2:G123,IF(G123="","=",G123),H$2:H123,H123)</f>
        <v>1</v>
      </c>
      <c r="K123" t="str">
        <f t="shared" si="7"/>
        <v>Valid</v>
      </c>
      <c r="M123" s="5"/>
    </row>
    <row r="124" spans="1:13" x14ac:dyDescent="0.2">
      <c r="A124" t="s">
        <v>326</v>
      </c>
      <c r="B124" t="s">
        <v>327</v>
      </c>
      <c r="C124" t="s">
        <v>328</v>
      </c>
      <c r="D124" t="s">
        <v>329</v>
      </c>
      <c r="E124" t="s">
        <v>56</v>
      </c>
      <c r="F124" s="6">
        <v>46256</v>
      </c>
      <c r="G124">
        <v>162.11000000000001</v>
      </c>
      <c r="H124" t="s">
        <v>331</v>
      </c>
      <c r="I124">
        <f t="shared" si="6"/>
        <v>1</v>
      </c>
      <c r="J124">
        <f>COUNTIFS(A$2:A124,A124,B$2:B124,B124,C$2:C124,IF(C124="","=",C124),D$2:D124,IF(D124="","=",D124),E$2:E124,IF(E124="","=",E124),F$2:F124,F124,G$2:G124,IF(G124="","=",G124),H$2:H124,H124)</f>
        <v>1</v>
      </c>
      <c r="K124" t="str">
        <f t="shared" si="7"/>
        <v>Valid</v>
      </c>
      <c r="M124" s="5"/>
    </row>
    <row r="125" spans="1:13" x14ac:dyDescent="0.2">
      <c r="A125" t="s">
        <v>212</v>
      </c>
      <c r="B125" t="s">
        <v>149</v>
      </c>
      <c r="C125" t="s">
        <v>213</v>
      </c>
      <c r="D125" t="s">
        <v>747</v>
      </c>
      <c r="E125" t="s">
        <v>62</v>
      </c>
      <c r="F125" s="6">
        <v>46257</v>
      </c>
      <c r="G125">
        <v>142.43</v>
      </c>
      <c r="H125" t="s">
        <v>64</v>
      </c>
      <c r="I125">
        <f t="shared" si="6"/>
        <v>1</v>
      </c>
      <c r="J125">
        <f>COUNTIFS(A$2:A125,A125,B$2:B125,B125,C$2:C125,IF(C125="","=",C125),D$2:D125,IF(D125="","=",D125),E$2:E125,IF(E125="","=",E125),F$2:F125,F125,G$2:G125,IF(G125="","=",G125),H$2:H125,H125)</f>
        <v>1</v>
      </c>
      <c r="K125" t="str">
        <f t="shared" si="7"/>
        <v>Valid</v>
      </c>
      <c r="M125" s="5"/>
    </row>
    <row r="126" spans="1:13" x14ac:dyDescent="0.2">
      <c r="A126" t="s">
        <v>409</v>
      </c>
      <c r="B126" t="s">
        <v>410</v>
      </c>
      <c r="C126" t="s">
        <v>411</v>
      </c>
      <c r="D126" t="s">
        <v>780</v>
      </c>
      <c r="E126" t="s">
        <v>62</v>
      </c>
      <c r="F126" s="6">
        <v>46258</v>
      </c>
      <c r="G126">
        <v>244.37</v>
      </c>
      <c r="H126" t="s">
        <v>28</v>
      </c>
      <c r="I126">
        <f t="shared" si="6"/>
        <v>1</v>
      </c>
      <c r="J126">
        <f>COUNTIFS(A$2:A126,A126,B$2:B126,B126,C$2:C126,IF(C126="","=",C126),D$2:D126,IF(D126="","=",D126),E$2:E126,IF(E126="","=",E126),F$2:F126,F126,G$2:G126,IF(G126="","=",G126),H$2:H126,H126)</f>
        <v>1</v>
      </c>
      <c r="K126" t="str">
        <f t="shared" si="7"/>
        <v>Valid</v>
      </c>
      <c r="M126" s="5"/>
    </row>
    <row r="127" spans="1:13" x14ac:dyDescent="0.2">
      <c r="A127" t="s">
        <v>620</v>
      </c>
      <c r="B127" t="s">
        <v>163</v>
      </c>
      <c r="C127" t="s">
        <v>621</v>
      </c>
      <c r="D127" t="s">
        <v>622</v>
      </c>
      <c r="E127" t="s">
        <v>26</v>
      </c>
      <c r="F127" s="6">
        <v>46261</v>
      </c>
      <c r="G127">
        <v>150.02000000000001</v>
      </c>
      <c r="H127" t="s">
        <v>14</v>
      </c>
      <c r="I127">
        <f t="shared" si="6"/>
        <v>1</v>
      </c>
      <c r="J127">
        <f>COUNTIFS(A$2:A127,A127,B$2:B127,B127,C$2:C127,IF(C127="","=",C127),D$2:D127,IF(D127="","=",D127),E$2:E127,IF(E127="","=",E127),F$2:F127,F127,G$2:G127,IF(G127="","=",G127),H$2:H127,H127)</f>
        <v>1</v>
      </c>
      <c r="K127" t="str">
        <f t="shared" si="7"/>
        <v>Valid</v>
      </c>
      <c r="M127" s="5"/>
    </row>
    <row r="128" spans="1:13" x14ac:dyDescent="0.2">
      <c r="A128" t="s">
        <v>81</v>
      </c>
      <c r="B128" t="s">
        <v>82</v>
      </c>
      <c r="C128" t="s">
        <v>83</v>
      </c>
      <c r="D128" t="s">
        <v>724</v>
      </c>
      <c r="E128" t="s">
        <v>45</v>
      </c>
      <c r="F128" s="6">
        <v>46270</v>
      </c>
      <c r="G128">
        <v>186.52</v>
      </c>
      <c r="H128" t="s">
        <v>14</v>
      </c>
      <c r="I128">
        <f t="shared" si="6"/>
        <v>1</v>
      </c>
      <c r="J128">
        <f>COUNTIFS(A$2:A128,A128,B$2:B128,B128,C$2:C128,IF(C128="","=",C128),D$2:D128,IF(D128="","=",D128),E$2:E128,IF(E128="","=",E128),F$2:F128,F128,G$2:G128,IF(G128="","=",G128),H$2:H128,H128)</f>
        <v>1</v>
      </c>
      <c r="K128" t="str">
        <f t="shared" si="7"/>
        <v>Valid</v>
      </c>
      <c r="M128" s="5"/>
    </row>
    <row r="129" spans="1:13" x14ac:dyDescent="0.2">
      <c r="A129" t="s">
        <v>525</v>
      </c>
      <c r="B129" t="s">
        <v>269</v>
      </c>
      <c r="D129" t="s">
        <v>526</v>
      </c>
      <c r="E129" t="s">
        <v>62</v>
      </c>
      <c r="F129" s="6">
        <v>46272</v>
      </c>
      <c r="G129">
        <v>144.68</v>
      </c>
      <c r="H129" t="s">
        <v>14</v>
      </c>
      <c r="I129">
        <f t="shared" si="6"/>
        <v>1</v>
      </c>
      <c r="J129">
        <f>COUNTIFS(A$2:A129,A129,B$2:B129,B129,C$2:C129,IF(C129="","=",C129),D$2:D129,IF(D129="","=",D129),E$2:E129,IF(E129="","=",E129),F$2:F129,F129,G$2:G129,IF(G129="","=",G129),H$2:H129,H129)</f>
        <v>1</v>
      </c>
      <c r="K129" t="str">
        <f t="shared" si="7"/>
        <v>Needs Review</v>
      </c>
      <c r="M129" s="5"/>
    </row>
    <row r="130" spans="1:13" x14ac:dyDescent="0.2">
      <c r="A130" t="s">
        <v>624</v>
      </c>
      <c r="B130" t="s">
        <v>625</v>
      </c>
      <c r="C130" t="s">
        <v>626</v>
      </c>
      <c r="D130" t="s">
        <v>822</v>
      </c>
      <c r="E130" t="s">
        <v>62</v>
      </c>
      <c r="F130" s="6">
        <v>46272</v>
      </c>
      <c r="G130">
        <v>198.96</v>
      </c>
      <c r="H130" t="s">
        <v>21</v>
      </c>
      <c r="I130">
        <f t="shared" ref="I130:I141" si="8">COUNTIF($A$2:$A$141,A130)</f>
        <v>1</v>
      </c>
      <c r="J130">
        <f>COUNTIFS(A$2:A130,A130,B$2:B130,B130,C$2:C130,IF(C130="","=",C130),D$2:D130,IF(D130="","=",D130),E$2:E130,IF(E130="","=",E130),F$2:F130,F130,G$2:G130,IF(G130="","=",G130),H$2:H130,H130)</f>
        <v>1</v>
      </c>
      <c r="K130" t="str">
        <f t="shared" ref="K130:K141" si="9">IF(OR(C130="",G130="",NOT(ISNUMBER(G130)),AND(ISNUMBER(G130),G130&lt;=0)),"Needs Review","Valid")</f>
        <v>Valid</v>
      </c>
      <c r="M130" s="5"/>
    </row>
    <row r="131" spans="1:13" x14ac:dyDescent="0.2">
      <c r="A131" t="s">
        <v>207</v>
      </c>
      <c r="B131" t="s">
        <v>208</v>
      </c>
      <c r="C131" t="s">
        <v>209</v>
      </c>
      <c r="D131" t="s">
        <v>746</v>
      </c>
      <c r="E131" t="s">
        <v>50</v>
      </c>
      <c r="F131" s="6">
        <v>46274</v>
      </c>
      <c r="G131">
        <v>248.25</v>
      </c>
      <c r="H131" t="s">
        <v>14</v>
      </c>
      <c r="I131">
        <f t="shared" si="8"/>
        <v>1</v>
      </c>
      <c r="J131">
        <f>COUNTIFS(A$2:A131,A131,B$2:B131,B131,C$2:C131,IF(C131="","=",C131),D$2:D131,IF(D131="","=",D131),E$2:E131,IF(E131="","=",E131),F$2:F131,F131,G$2:G131,IF(G131="","=",G131),H$2:H131,H131)</f>
        <v>1</v>
      </c>
      <c r="K131" t="str">
        <f t="shared" si="9"/>
        <v>Valid</v>
      </c>
      <c r="M131" s="5"/>
    </row>
    <row r="132" spans="1:13" x14ac:dyDescent="0.2">
      <c r="A132" t="s">
        <v>596</v>
      </c>
      <c r="B132" t="s">
        <v>597</v>
      </c>
      <c r="C132" t="s">
        <v>598</v>
      </c>
      <c r="D132" t="s">
        <v>819</v>
      </c>
      <c r="E132" t="s">
        <v>50</v>
      </c>
      <c r="F132" s="6">
        <v>46274</v>
      </c>
      <c r="G132">
        <v>243.93</v>
      </c>
      <c r="H132" t="s">
        <v>91</v>
      </c>
      <c r="I132">
        <f t="shared" si="8"/>
        <v>1</v>
      </c>
      <c r="J132">
        <f>COUNTIFS(A$2:A132,A132,B$2:B132,B132,C$2:C132,IF(C132="","=",C132),D$2:D132,IF(D132="","=",D132),E$2:E132,IF(E132="","=",E132),F$2:F132,F132,G$2:G132,IF(G132="","=",G132),H$2:H132,H132)</f>
        <v>1</v>
      </c>
      <c r="K132" t="str">
        <f t="shared" si="9"/>
        <v>Valid</v>
      </c>
      <c r="M132" s="5"/>
    </row>
    <row r="133" spans="1:13" x14ac:dyDescent="0.2">
      <c r="A133" t="s">
        <v>486</v>
      </c>
      <c r="B133" t="s">
        <v>487</v>
      </c>
      <c r="C133" t="s">
        <v>488</v>
      </c>
      <c r="D133" t="s">
        <v>797</v>
      </c>
      <c r="E133" t="s">
        <v>33</v>
      </c>
      <c r="F133" s="6">
        <v>46276</v>
      </c>
      <c r="G133">
        <v>309.2</v>
      </c>
      <c r="H133" t="s">
        <v>91</v>
      </c>
      <c r="I133">
        <f t="shared" si="8"/>
        <v>1</v>
      </c>
      <c r="J133">
        <f>COUNTIFS(A$2:A133,A133,B$2:B133,B133,C$2:C133,IF(C133="","=",C133),D$2:D133,IF(D133="","=",D133),E$2:E133,IF(E133="","=",E133),F$2:F133,F133,G$2:G133,IF(G133="","=",G133),H$2:H133,H133)</f>
        <v>1</v>
      </c>
      <c r="K133" t="str">
        <f t="shared" si="9"/>
        <v>Valid</v>
      </c>
      <c r="M133" s="5"/>
    </row>
    <row r="134" spans="1:13" x14ac:dyDescent="0.2">
      <c r="A134" t="s">
        <v>76</v>
      </c>
      <c r="B134" t="s">
        <v>77</v>
      </c>
      <c r="C134" t="s">
        <v>78</v>
      </c>
      <c r="D134" t="s">
        <v>723</v>
      </c>
      <c r="E134" t="s">
        <v>26</v>
      </c>
      <c r="F134" s="6">
        <v>46279</v>
      </c>
      <c r="G134">
        <v>149.16999999999999</v>
      </c>
      <c r="H134" t="s">
        <v>28</v>
      </c>
      <c r="I134">
        <f t="shared" si="8"/>
        <v>1</v>
      </c>
      <c r="J134">
        <f>COUNTIFS(A$2:A134,A134,B$2:B134,B134,C$2:C134,IF(C134="","=",C134),D$2:D134,IF(D134="","=",D134),E$2:E134,IF(E134="","=",E134),F$2:F134,F134,G$2:G134,IF(G134="","=",G134),H$2:H134,H134)</f>
        <v>1</v>
      </c>
      <c r="K134" t="str">
        <f t="shared" si="9"/>
        <v>Valid</v>
      </c>
      <c r="M134" s="5"/>
    </row>
    <row r="135" spans="1:13" x14ac:dyDescent="0.2">
      <c r="A135" t="s">
        <v>278</v>
      </c>
      <c r="B135" t="s">
        <v>279</v>
      </c>
      <c r="C135" t="s">
        <v>280</v>
      </c>
      <c r="D135" t="s">
        <v>281</v>
      </c>
      <c r="E135" t="s">
        <v>12</v>
      </c>
      <c r="F135" s="6">
        <v>46283</v>
      </c>
      <c r="G135">
        <v>157.88</v>
      </c>
      <c r="H135" t="s">
        <v>176</v>
      </c>
      <c r="I135">
        <f t="shared" si="8"/>
        <v>1</v>
      </c>
      <c r="J135">
        <f>COUNTIFS(A$2:A135,A135,B$2:B135,B135,C$2:C135,IF(C135="","=",C135),D$2:D135,IF(D135="","=",D135),E$2:E135,IF(E135="","=",E135),F$2:F135,F135,G$2:G135,IF(G135="","=",G135),H$2:H135,H135)</f>
        <v>1</v>
      </c>
      <c r="K135" t="str">
        <f t="shared" si="9"/>
        <v>Valid</v>
      </c>
      <c r="M135" s="5"/>
    </row>
    <row r="136" spans="1:13" x14ac:dyDescent="0.2">
      <c r="A136" t="s">
        <v>370</v>
      </c>
      <c r="B136" t="s">
        <v>303</v>
      </c>
      <c r="C136" t="s">
        <v>371</v>
      </c>
      <c r="D136" t="s">
        <v>372</v>
      </c>
      <c r="E136" t="s">
        <v>26</v>
      </c>
      <c r="F136" s="6">
        <v>46285</v>
      </c>
      <c r="G136">
        <v>250.12</v>
      </c>
      <c r="H136" t="s">
        <v>28</v>
      </c>
      <c r="I136">
        <f t="shared" si="8"/>
        <v>1</v>
      </c>
      <c r="J136">
        <f>COUNTIFS(A$2:A136,A136,B$2:B136,B136,C$2:C136,IF(C136="","=",C136),D$2:D136,IF(D136="","=",D136),E$2:E136,IF(E136="","=",E136),F$2:F136,F136,G$2:G136,IF(G136="","=",G136),H$2:H136,H136)</f>
        <v>1</v>
      </c>
      <c r="K136" t="str">
        <f t="shared" si="9"/>
        <v>Valid</v>
      </c>
      <c r="M136" s="5"/>
    </row>
    <row r="137" spans="1:13" x14ac:dyDescent="0.2">
      <c r="A137" t="s">
        <v>244</v>
      </c>
      <c r="B137" t="s">
        <v>245</v>
      </c>
      <c r="C137" t="s">
        <v>246</v>
      </c>
      <c r="D137" t="s">
        <v>752</v>
      </c>
      <c r="E137" t="s">
        <v>62</v>
      </c>
      <c r="F137" s="6">
        <v>46289</v>
      </c>
      <c r="G137">
        <v>22.87</v>
      </c>
      <c r="H137" t="s">
        <v>28</v>
      </c>
      <c r="I137">
        <f t="shared" si="8"/>
        <v>1</v>
      </c>
      <c r="J137">
        <f>COUNTIFS(A$2:A137,A137,B$2:B137,B137,C$2:C137,IF(C137="","=",C137),D$2:D137,IF(D137="","=",D137),E$2:E137,IF(E137="","=",E137),F$2:F137,F137,G$2:G137,IF(G137="","=",G137),H$2:H137,H137)</f>
        <v>1</v>
      </c>
      <c r="K137" t="str">
        <f t="shared" si="9"/>
        <v>Valid</v>
      </c>
      <c r="M137" s="5"/>
    </row>
    <row r="138" spans="1:13" x14ac:dyDescent="0.2">
      <c r="A138" t="s">
        <v>388</v>
      </c>
      <c r="B138" t="s">
        <v>389</v>
      </c>
      <c r="C138" t="s">
        <v>390</v>
      </c>
      <c r="D138" t="s">
        <v>776</v>
      </c>
      <c r="E138" t="s">
        <v>56</v>
      </c>
      <c r="F138" s="6">
        <v>46289</v>
      </c>
      <c r="G138">
        <v>30.98</v>
      </c>
      <c r="H138" t="s">
        <v>14</v>
      </c>
      <c r="I138">
        <f t="shared" si="8"/>
        <v>1</v>
      </c>
      <c r="J138">
        <f>COUNTIFS(A$2:A138,A138,B$2:B138,B138,C$2:C138,IF(C138="","=",C138),D$2:D138,IF(D138="","=",D138),E$2:E138,IF(E138="","=",E138),F$2:F138,F138,G$2:G138,IF(G138="","=",G138),H$2:H138,H138)</f>
        <v>1</v>
      </c>
      <c r="K138" t="str">
        <f t="shared" si="9"/>
        <v>Valid</v>
      </c>
      <c r="M138" s="5"/>
    </row>
    <row r="139" spans="1:13" x14ac:dyDescent="0.2">
      <c r="A139" t="s">
        <v>221</v>
      </c>
      <c r="B139" t="s">
        <v>118</v>
      </c>
      <c r="D139" t="s">
        <v>748</v>
      </c>
      <c r="E139" t="s">
        <v>69</v>
      </c>
      <c r="F139" s="6">
        <v>46290</v>
      </c>
      <c r="G139">
        <v>26.07</v>
      </c>
      <c r="H139" t="s">
        <v>28</v>
      </c>
      <c r="I139">
        <f t="shared" si="8"/>
        <v>1</v>
      </c>
      <c r="J139">
        <f>COUNTIFS(A$2:A139,A139,B$2:B139,B139,C$2:C139,IF(C139="","=",C139),D$2:D139,IF(D139="","=",D139),E$2:E139,IF(E139="","=",E139),F$2:F139,F139,G$2:G139,IF(G139="","=",G139),H$2:H139,H139)</f>
        <v>1</v>
      </c>
      <c r="K139" t="str">
        <f t="shared" si="9"/>
        <v>Needs Review</v>
      </c>
      <c r="M139" s="5"/>
    </row>
    <row r="140" spans="1:13" x14ac:dyDescent="0.2">
      <c r="A140" t="s">
        <v>157</v>
      </c>
      <c r="B140" t="s">
        <v>158</v>
      </c>
      <c r="C140" t="s">
        <v>159</v>
      </c>
      <c r="D140" t="s">
        <v>737</v>
      </c>
      <c r="E140" t="s">
        <v>45</v>
      </c>
      <c r="F140" s="6">
        <v>46291</v>
      </c>
      <c r="G140">
        <v>253.04</v>
      </c>
      <c r="H140" t="s">
        <v>64</v>
      </c>
      <c r="I140">
        <f t="shared" si="8"/>
        <v>1</v>
      </c>
      <c r="J140">
        <f>COUNTIFS(A$2:A140,A140,B$2:B140,B140,C$2:C140,IF(C140="","=",C140),D$2:D140,IF(D140="","=",D140),E$2:E140,IF(E140="","=",E140),F$2:F140,F140,G$2:G140,IF(G140="","=",G140),H$2:H140,H140)</f>
        <v>1</v>
      </c>
      <c r="K140" t="str">
        <f t="shared" si="9"/>
        <v>Valid</v>
      </c>
      <c r="M140" s="5"/>
    </row>
    <row r="141" spans="1:13" x14ac:dyDescent="0.2">
      <c r="A141" t="s">
        <v>481</v>
      </c>
      <c r="B141" t="s">
        <v>9</v>
      </c>
      <c r="C141" t="s">
        <v>483</v>
      </c>
      <c r="D141" t="s">
        <v>796</v>
      </c>
      <c r="E141" t="s">
        <v>45</v>
      </c>
      <c r="F141" s="6">
        <v>46293</v>
      </c>
      <c r="G141">
        <v>120.47</v>
      </c>
      <c r="H141" t="s">
        <v>28</v>
      </c>
      <c r="I141">
        <f t="shared" si="8"/>
        <v>1</v>
      </c>
      <c r="J141">
        <f>COUNTIFS(A$2:A141,A141,B$2:B141,B141,C$2:C141,IF(C141="","=",C141),D$2:D141,IF(D141="","=",D141),E$2:E141,IF(E141="","=",E141),F$2:F141,F141,G$2:G141,IF(G141="","=",G141),H$2:H141,H141)</f>
        <v>1</v>
      </c>
      <c r="K141" t="str">
        <f t="shared" si="9"/>
        <v>Valid</v>
      </c>
      <c r="M141" s="5"/>
    </row>
    <row r="142" spans="1:13" x14ac:dyDescent="0.2">
      <c r="M142" s="5"/>
    </row>
    <row r="143" spans="1:13" x14ac:dyDescent="0.2">
      <c r="M143" s="5"/>
    </row>
  </sheetData>
  <conditionalFormatting sqref="A2:A141">
    <cfRule type="duplicateValues" dxfId="0" priority="1"/>
  </conditionalFormatting>
  <dataValidations count="3">
    <dataValidation type="list" allowBlank="1" showInputMessage="1" showErrorMessage="1" errorTitle="Invalid Order Status" error="Please select a valid order status from the drop-down list." sqref="H2:H141" xr:uid="{70286AA3-DBA3-EF41-8EF5-D76A3C264C9B}">
      <formula1>"Completed,Processing,Pending,Cancelled"</formula1>
    </dataValidation>
    <dataValidation type="decimal" operator="greaterThanOrEqual" allowBlank="1" showInputMessage="1" showErrorMessage="1" errorTitle="Invalid Order Amount" error="Please enter a valid order amount of zero or greater." sqref="G2:G141" xr:uid="{D41E1B75-2841-EC40-BA56-1309C2D2713B}">
      <formula1>0</formula1>
    </dataValidation>
    <dataValidation type="custom" allowBlank="1" showInputMessage="1" showErrorMessage="1" errorTitle="Invalid Phone Number" error="Enter a 10-digit phone number in the format (404) 555-1234." sqref="D2:D141" xr:uid="{61C559FF-ED46-C74A-BCE9-5639B3E402BB}">
      <formula1>AND(LEN(D2)=14,LEFT(D2,1)="(",MID(D2,5,2)=") ",MID(D2,10,1)="-",ISNUMBER(IFERROR(VALUE(MID(D2,2,3)&amp;MID(D2,7,3)&amp;RIGHT(D2,4)),"")))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5E39-D2F5-3942-81FB-412562ACD1B9}">
  <dimension ref="A1:B8"/>
  <sheetViews>
    <sheetView workbookViewId="0">
      <selection activeCell="B9" sqref="B9"/>
    </sheetView>
  </sheetViews>
  <sheetFormatPr baseColWidth="10" defaultRowHeight="16" x14ac:dyDescent="0.2"/>
  <cols>
    <col min="1" max="1" width="20.33203125" bestFit="1" customWidth="1"/>
    <col min="2" max="2" width="7.83203125" bestFit="1" customWidth="1"/>
  </cols>
  <sheetData>
    <row r="1" spans="1:2" x14ac:dyDescent="0.2">
      <c r="A1" t="s">
        <v>689</v>
      </c>
    </row>
    <row r="3" spans="1:2" x14ac:dyDescent="0.2">
      <c r="A3" t="s">
        <v>690</v>
      </c>
      <c r="B3" t="s">
        <v>691</v>
      </c>
    </row>
    <row r="4" spans="1:2" x14ac:dyDescent="0.2">
      <c r="A4" t="s">
        <v>692</v>
      </c>
      <c r="B4">
        <f>COUNTBLANK('Cleaned Data'!A2:A141)</f>
        <v>0</v>
      </c>
    </row>
    <row r="5" spans="1:2" x14ac:dyDescent="0.2">
      <c r="A5" t="s">
        <v>693</v>
      </c>
      <c r="B5">
        <f>COUNTBLANK('Cleaned Data'!C2:C141)</f>
        <v>7</v>
      </c>
    </row>
    <row r="6" spans="1:2" x14ac:dyDescent="0.2">
      <c r="A6" t="s">
        <v>694</v>
      </c>
      <c r="B6">
        <f>COUNTBLANK('Cleaned Data'!G2:G141)+COUNTIF('Cleaned Data'!G2:G141,"&lt;0")</f>
        <v>4</v>
      </c>
    </row>
    <row r="7" spans="1:2" x14ac:dyDescent="0.2">
      <c r="A7" t="s">
        <v>695</v>
      </c>
      <c r="B7">
        <f>COUNTIFS('Cleaned Data'!H2:H141,"&lt;&gt;Completed",'Cleaned Data'!H2:H141,"&lt;&gt;Pending",'Cleaned Data'!H2:H141,"&lt;&gt;Processing",'Cleaned Data'!H2:H141,"&lt;&gt;Cancelled")</f>
        <v>0</v>
      </c>
    </row>
    <row r="8" spans="1:2" x14ac:dyDescent="0.2">
      <c r="A8" t="s">
        <v>696</v>
      </c>
      <c r="B8">
        <f>SUM(B4:B7)</f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EF64-8ACA-D44E-9858-FEB0F3BBC7BD}">
  <dimension ref="A1:B20"/>
  <sheetViews>
    <sheetView workbookViewId="0">
      <selection activeCell="D9" sqref="D9"/>
    </sheetView>
  </sheetViews>
  <sheetFormatPr baseColWidth="10" defaultRowHeight="16" x14ac:dyDescent="0.2"/>
  <cols>
    <col min="1" max="1" width="38.83203125" customWidth="1"/>
    <col min="2" max="2" width="22.83203125" customWidth="1"/>
  </cols>
  <sheetData>
    <row r="1" spans="1:2" ht="22" x14ac:dyDescent="0.3">
      <c r="A1" s="7" t="s">
        <v>705</v>
      </c>
      <c r="B1" s="8"/>
    </row>
    <row r="3" spans="1:2" x14ac:dyDescent="0.2">
      <c r="A3" t="s">
        <v>684</v>
      </c>
      <c r="B3">
        <f>COUNTA('Cleaned Data'!A2:A141)</f>
        <v>140</v>
      </c>
    </row>
    <row r="4" spans="1:2" x14ac:dyDescent="0.2">
      <c r="A4" t="s">
        <v>685</v>
      </c>
      <c r="B4">
        <f>COUNTIF(tbl_CleanedData[Duplicate Check],"&gt;1")</f>
        <v>0</v>
      </c>
    </row>
    <row r="5" spans="1:2" x14ac:dyDescent="0.2">
      <c r="A5" t="s">
        <v>687</v>
      </c>
      <c r="B5">
        <v>9</v>
      </c>
    </row>
    <row r="6" spans="1:2" x14ac:dyDescent="0.2">
      <c r="A6" t="s">
        <v>688</v>
      </c>
      <c r="B6">
        <f>150-B3</f>
        <v>10</v>
      </c>
    </row>
    <row r="8" spans="1:2" x14ac:dyDescent="0.2">
      <c r="A8" t="s">
        <v>697</v>
      </c>
      <c r="B8" s="1">
        <f>SUMIF('Cleaned Data'!H2:H141,"Completed",'Cleaned Data'!G2:G141)</f>
        <v>5949.1200000000008</v>
      </c>
    </row>
    <row r="10" spans="1:2" x14ac:dyDescent="0.2">
      <c r="A10" t="s">
        <v>698</v>
      </c>
      <c r="B10" t="s">
        <v>8</v>
      </c>
    </row>
    <row r="11" spans="1:2" x14ac:dyDescent="0.2">
      <c r="A11" t="s">
        <v>1</v>
      </c>
      <c r="B11" t="str">
        <f>_xlfn.XLOOKUP(B10,'Cleaned Data'!A2:A141,'Cleaned Data'!B2:B141,"Not Found")</f>
        <v>Dakota Jackson</v>
      </c>
    </row>
    <row r="13" spans="1:2" x14ac:dyDescent="0.2">
      <c r="A13" s="2" t="s">
        <v>700</v>
      </c>
      <c r="B13" s="2"/>
    </row>
    <row r="14" spans="1:2" x14ac:dyDescent="0.2">
      <c r="A14" t="s">
        <v>701</v>
      </c>
      <c r="B14" s="4">
        <f>COUNTIF('Cleaned Data'!K2:K141,"Needs Review")</f>
        <v>11</v>
      </c>
    </row>
    <row r="15" spans="1:2" x14ac:dyDescent="0.2">
      <c r="A15" t="s">
        <v>702</v>
      </c>
      <c r="B15" s="3">
        <f>COUNTIF('Cleaned Data'!K2:K141,"Valid")</f>
        <v>129</v>
      </c>
    </row>
    <row r="17" spans="1:2" x14ac:dyDescent="0.2">
      <c r="A17" t="s">
        <v>703</v>
      </c>
      <c r="B17" s="3">
        <f>COUNTIF('Cleaned Data'!J2:J141,"&gt;1")</f>
        <v>0</v>
      </c>
    </row>
    <row r="19" spans="1:2" x14ac:dyDescent="0.2">
      <c r="A19" s="2" t="s">
        <v>704</v>
      </c>
      <c r="B19" s="2"/>
    </row>
    <row r="20" spans="1:2" ht="60" customHeight="1" x14ac:dyDescent="0.2">
      <c r="A20" s="9" t="s">
        <v>712</v>
      </c>
      <c r="B20" s="9"/>
    </row>
  </sheetData>
  <mergeCells count="2">
    <mergeCell ref="A1:B1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Data Validation</vt:lpstr>
      <vt:lpstr>Audit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Raequawn Hatcher (rhatche2)</dc:creator>
  <cp:lastModifiedBy>Raequawn Hatcher (rhatche2)</cp:lastModifiedBy>
  <dcterms:created xsi:type="dcterms:W3CDTF">2026-10-15T23:27:35Z</dcterms:created>
  <dcterms:modified xsi:type="dcterms:W3CDTF">2026-10-17T01:39:52Z</dcterms:modified>
</cp:coreProperties>
</file>